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jan/Documents/competitions/hackatons/hacknation_2025/data/"/>
    </mc:Choice>
  </mc:AlternateContent>
  <xr:revisionPtr revIDLastSave="0" documentId="13_ncr:1_{55DB8B22-B388-6640-8C89-2476C1273D0D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Sheet1" sheetId="1" r:id="rId1"/>
  </sheets>
  <definedNames>
    <definedName name="_xlnm._FilterDatabase" localSheetId="0" hidden="1">Sheet1!$A$1:$X$273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3" i="1" l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" i="1"/>
  <c r="X274" i="1"/>
</calcChain>
</file>

<file path=xl/sharedStrings.xml><?xml version="1.0" encoding="utf-8"?>
<sst xmlns="http://schemas.openxmlformats.org/spreadsheetml/2006/main" count="2226" uniqueCount="823">
  <si>
    <t>numer PKD</t>
  </si>
  <si>
    <t>nazwa PKD</t>
  </si>
  <si>
    <t>numer i nazwa PKD</t>
  </si>
  <si>
    <t>wskaźnik</t>
  </si>
  <si>
    <t>01.1</t>
  </si>
  <si>
    <t>Uprawy rolne inne niż wieloletnie</t>
  </si>
  <si>
    <t xml:space="preserve">01.1 Uprawy rolne inne niż wieloletnie </t>
  </si>
  <si>
    <t xml:space="preserve">GS (I) Przychody netto ze sprzedaży i zrównane z nimi </t>
  </si>
  <si>
    <t>01.2</t>
  </si>
  <si>
    <t>Uprawa roślin wieloletnich</t>
  </si>
  <si>
    <t xml:space="preserve">01.2 Uprawa roślin wieloletnich </t>
  </si>
  <si>
    <t>bd</t>
  </si>
  <si>
    <t>01.3</t>
  </si>
  <si>
    <t>Rozmnażanie roślin</t>
  </si>
  <si>
    <t xml:space="preserve">01.3 Rozmnażanie roślin </t>
  </si>
  <si>
    <t>01.4</t>
  </si>
  <si>
    <t>Chów i hodowla zwierząt</t>
  </si>
  <si>
    <t xml:space="preserve">01.4 Chów i hodowla zwierząt </t>
  </si>
  <si>
    <t>01.5</t>
  </si>
  <si>
    <t>Uprawy rolne połączone z chowem i hodowlą zwierząt (działalność mieszana)</t>
  </si>
  <si>
    <t xml:space="preserve">01.5 Uprawy rolne połączone z chowem i hodowlą zwierząt (działalność mieszana) </t>
  </si>
  <si>
    <t>01.6</t>
  </si>
  <si>
    <t>Działalność usługowa wspomagająca rolnictwo i następująca po zbiorach</t>
  </si>
  <si>
    <t xml:space="preserve">01.6 Działalność usługowa wspomagająca rolnictwo i następująca po zbiorach </t>
  </si>
  <si>
    <t>01.7</t>
  </si>
  <si>
    <t>Łowiectwo i pozyskiwanie zwierząt łownych, włączając działalność usługową</t>
  </si>
  <si>
    <t xml:space="preserve">01.7 Łowiectwo i pozyskiwanie zwierząt łownych, włączając działalność usługową </t>
  </si>
  <si>
    <t>02.1</t>
  </si>
  <si>
    <t>Gospodarka leśna i pozostała działalność leśna, z wyłączeniem pozyskiwania produktów leśnych</t>
  </si>
  <si>
    <t xml:space="preserve">02.1 Gospodarka leśna i pozostała działalność leśna, z wyłączeniem pozyskiwania produktów leśnych </t>
  </si>
  <si>
    <t>02.2</t>
  </si>
  <si>
    <t>Pozyskiwanie drewna</t>
  </si>
  <si>
    <t xml:space="preserve">02.2 Pozyskiwanie drewna </t>
  </si>
  <si>
    <t>02.3</t>
  </si>
  <si>
    <t>Pozyskiwanie dziko rosnących produktów leśnych, z wyłączeniem drewna</t>
  </si>
  <si>
    <t xml:space="preserve">02.3 Pozyskiwanie dziko rosnących produktów leśnych, z wyłączeniem drewna </t>
  </si>
  <si>
    <t>02.4</t>
  </si>
  <si>
    <t>Działalność usługowa związana z leśnictwem</t>
  </si>
  <si>
    <t xml:space="preserve">02.4 Działalność usługowa związana z leśnictwem </t>
  </si>
  <si>
    <t>03.1</t>
  </si>
  <si>
    <t>Rybołówstwo</t>
  </si>
  <si>
    <t xml:space="preserve">03.1 Rybołówstwo </t>
  </si>
  <si>
    <t>03.2</t>
  </si>
  <si>
    <t>Chów i hodowla ryb oraz pozostałych organizmów wodnych</t>
  </si>
  <si>
    <t xml:space="preserve">03.2 Chów i hodowla ryb oraz pozostałych organizmów wodnych </t>
  </si>
  <si>
    <t>05.1</t>
  </si>
  <si>
    <t>Wydobywanie węgla kamiennego</t>
  </si>
  <si>
    <t xml:space="preserve">05.1 Wydobywanie węgla kamiennego </t>
  </si>
  <si>
    <t>05.2</t>
  </si>
  <si>
    <t>Wydobywanie węgla brunatnego (lignitu)</t>
  </si>
  <si>
    <t xml:space="preserve">05.2 Wydobywanie węgla brunatnego (lignitu) </t>
  </si>
  <si>
    <t>06.1</t>
  </si>
  <si>
    <t>Górnictwo ropy naftowej</t>
  </si>
  <si>
    <t xml:space="preserve">06.1 Górnictwo ropy naftowej </t>
  </si>
  <si>
    <t>06.2</t>
  </si>
  <si>
    <t>Górnictwo gazu ziemnego</t>
  </si>
  <si>
    <t xml:space="preserve">06.2 Górnictwo gazu ziemnego </t>
  </si>
  <si>
    <t>07.1</t>
  </si>
  <si>
    <t>Górnictwo rud żelaza</t>
  </si>
  <si>
    <t xml:space="preserve">07.1 Górnictwo rud żelaza </t>
  </si>
  <si>
    <t>07.2</t>
  </si>
  <si>
    <t>Górnictwo rud metali nieżelaznych</t>
  </si>
  <si>
    <t xml:space="preserve">07.2 Górnictwo rud metali nieżelaznych </t>
  </si>
  <si>
    <t>08.1</t>
  </si>
  <si>
    <t>Wydobywanie kamienia, piasku i gliny</t>
  </si>
  <si>
    <t xml:space="preserve">08.1 Wydobywanie kamienia, piasku i gliny </t>
  </si>
  <si>
    <t>08.9</t>
  </si>
  <si>
    <t>Górnictwo i wydobywanie, gdzie indziej niesklasyfikowane</t>
  </si>
  <si>
    <t xml:space="preserve">08.9 Górnictwo i wydobywanie, gdzie indziej niesklasyfikowane </t>
  </si>
  <si>
    <t>09.1</t>
  </si>
  <si>
    <t>Działalność usługowa wspomagająca eksploatację złóż ropy naftowej i gazu ziemnego</t>
  </si>
  <si>
    <t xml:space="preserve">09.1 Działalność usługowa wspomagająca eksploatację złóż ropy naftowej i gazu ziemnego </t>
  </si>
  <si>
    <t>09.9</t>
  </si>
  <si>
    <t>Działalność usługowa wspomagająca pozostałe górnictwo i wydobywanie</t>
  </si>
  <si>
    <t xml:space="preserve">09.9 Działalność usługowa wspomagająca pozostałe górnictwo i wydobywanie </t>
  </si>
  <si>
    <t>10.1</t>
  </si>
  <si>
    <t>Przetwarzanie i konserwowanie mięsa oraz produkcja wyrobów z mięsa</t>
  </si>
  <si>
    <t xml:space="preserve">10.1 Przetwarzanie i konserwowanie mięsa oraz produkcja wyrobów z mięsa </t>
  </si>
  <si>
    <t>10.2</t>
  </si>
  <si>
    <t>Przetwarzanie i konserwowanie ryb, skorupiaków i mięczaków</t>
  </si>
  <si>
    <t xml:space="preserve">10.2 Przetwarzanie i konserwowanie ryb, skorupiaków i mięczaków </t>
  </si>
  <si>
    <t>10.3</t>
  </si>
  <si>
    <t>Przetwarzanie i konserwowanie owoców i warzyw</t>
  </si>
  <si>
    <t xml:space="preserve">10.3 Przetwarzanie i konserwowanie owoców i warzyw </t>
  </si>
  <si>
    <t>10.4</t>
  </si>
  <si>
    <t>Produkcja olejów i tłuszczów pochodzenia roślinnego i zwierzęcego</t>
  </si>
  <si>
    <t xml:space="preserve">10.4 Produkcja olejów i tłuszczów pochodzenia roślinnego i zwierzęcego </t>
  </si>
  <si>
    <t>10.5</t>
  </si>
  <si>
    <t>Wytwarzanie wyrobów mleczarskich</t>
  </si>
  <si>
    <t xml:space="preserve">10.5 Wytwarzanie wyrobów mleczarskich </t>
  </si>
  <si>
    <t>10.6</t>
  </si>
  <si>
    <t>Wytwarzanie produktów przemiału zbóż, skrobi i wyrobów skrobiowych</t>
  </si>
  <si>
    <t xml:space="preserve">10.6 Wytwarzanie produktów przemiału zbóż, skrobi i wyrobów skrobiowych </t>
  </si>
  <si>
    <t>10.7</t>
  </si>
  <si>
    <t>Produkcja wyrobów piekarskich i mącznych</t>
  </si>
  <si>
    <t xml:space="preserve">10.7 Produkcja wyrobów piekarskich i mącznych </t>
  </si>
  <si>
    <t>10.8</t>
  </si>
  <si>
    <t>Produkcja pozostałych artykułów spożywczych</t>
  </si>
  <si>
    <t xml:space="preserve">10.8 Produkcja pozostałych artykułów spożywczych </t>
  </si>
  <si>
    <t>10.9</t>
  </si>
  <si>
    <t>Produkcja gotowych paszy i karmy dla zwierząt</t>
  </si>
  <si>
    <t xml:space="preserve">10.9 Produkcja gotowych paszy i karmy dla zwierząt </t>
  </si>
  <si>
    <t>11.0</t>
  </si>
  <si>
    <t>Produkcja napojów</t>
  </si>
  <si>
    <t xml:space="preserve">11.0 Produkcja napojów </t>
  </si>
  <si>
    <t>12.0</t>
  </si>
  <si>
    <t>Produkcja wyrobów tytoniowych</t>
  </si>
  <si>
    <t xml:space="preserve">12.0 Produkcja wyrobów tytoniowych </t>
  </si>
  <si>
    <t>13.1</t>
  </si>
  <si>
    <t>Przygotowanie i przędzenie włókien tekstylnych</t>
  </si>
  <si>
    <t xml:space="preserve">13.1 Przygotowanie i przędzenie włókien tekstylnych </t>
  </si>
  <si>
    <t>13.2</t>
  </si>
  <si>
    <t>Produkcja tkanin</t>
  </si>
  <si>
    <t xml:space="preserve">13.2 Produkcja tkanin </t>
  </si>
  <si>
    <t>13.3</t>
  </si>
  <si>
    <t>Wykończanie wyrobów włókienniczych</t>
  </si>
  <si>
    <t xml:space="preserve">13.3 Wykończanie wyrobów włókienniczych </t>
  </si>
  <si>
    <t>13.9</t>
  </si>
  <si>
    <t>Produkcja pozostałych wyrobów tekstylnych</t>
  </si>
  <si>
    <t xml:space="preserve">13.9 Produkcja pozostałych wyrobów tekstylnych </t>
  </si>
  <si>
    <t>14.1</t>
  </si>
  <si>
    <t>Produkcja odzieży, z wyłączeniem wyrobów futrzarskich</t>
  </si>
  <si>
    <t xml:space="preserve">14.1 Produkcja odzieży, z wyłączeniem wyrobów futrzarskich </t>
  </si>
  <si>
    <t>14.2</t>
  </si>
  <si>
    <t>Produkcja wyrobów futrzarskich</t>
  </si>
  <si>
    <t xml:space="preserve">14.2 Produkcja wyrobów futrzarskich </t>
  </si>
  <si>
    <t>14.3</t>
  </si>
  <si>
    <t>Produkcja odzieży dzianej</t>
  </si>
  <si>
    <t xml:space="preserve">14.3 Produkcja odzieży dzianej </t>
  </si>
  <si>
    <t>15.1</t>
  </si>
  <si>
    <t>Wyprawa skór, garbowanie; wyprawa i barwienie skór futerkowych; produkcja toreb bagażowych, toreb ręcznych i podobnych wyrobów kaletniczych; produkcja wyrobów rymarskich</t>
  </si>
  <si>
    <t xml:space="preserve">15.1 Wyprawa skór, garbowanie; wyprawa i barwienie skór futerkowych; produkcja toreb bagażowych, toreb ręcznych i podobnych wyrobów kaletniczych; produkcja wyrobów rymarskich </t>
  </si>
  <si>
    <t>15.2</t>
  </si>
  <si>
    <t>Produkcja obuwia</t>
  </si>
  <si>
    <t xml:space="preserve">15.2 Produkcja obuwia </t>
  </si>
  <si>
    <t>16.1</t>
  </si>
  <si>
    <t>Produkcja wyrobów tartacznych</t>
  </si>
  <si>
    <t xml:space="preserve">16.1 Produkcja wyrobów tartacznych </t>
  </si>
  <si>
    <t>16.2</t>
  </si>
  <si>
    <t>Produkcja wyrobów z drewna, korka, słomy i materiałów używanych do wyplatania</t>
  </si>
  <si>
    <t xml:space="preserve">16.2 Produkcja wyrobów z drewna, korka, słomy i materiałów używanych do wyplatania </t>
  </si>
  <si>
    <t>17.1</t>
  </si>
  <si>
    <t>Produkcja masy włóknistej, papieru i tektury</t>
  </si>
  <si>
    <t xml:space="preserve">17.1 Produkcja masy włóknistej, papieru i tektury </t>
  </si>
  <si>
    <t>17.2</t>
  </si>
  <si>
    <t>Produkcja wyrobów z papieru i tektury</t>
  </si>
  <si>
    <t xml:space="preserve">17.2 Produkcja wyrobów z papieru i tektury </t>
  </si>
  <si>
    <t>18.1</t>
  </si>
  <si>
    <t>Drukowanie i działalność usługowa związana z poligrafią</t>
  </si>
  <si>
    <t xml:space="preserve">18.1 Drukowanie i działalność usługowa związana z poligrafią </t>
  </si>
  <si>
    <t>18.2</t>
  </si>
  <si>
    <t>Reprodukcja zapisanych nośników informacji</t>
  </si>
  <si>
    <t xml:space="preserve">18.2 Reprodukcja zapisanych nośników informacji </t>
  </si>
  <si>
    <t>19.1</t>
  </si>
  <si>
    <t>Wytwarzanie i przetwarzanie koksu</t>
  </si>
  <si>
    <t xml:space="preserve">19.1 Wytwarzanie i przetwarzanie koksu </t>
  </si>
  <si>
    <t>19.2</t>
  </si>
  <si>
    <t>Wytwarzanie i przetwarzanie produktów rafinacji ropy naftowej</t>
  </si>
  <si>
    <t xml:space="preserve">19.2 Wytwarzanie i przetwarzanie produktów rafinacji ropy naftowej </t>
  </si>
  <si>
    <t>20.1</t>
  </si>
  <si>
    <t>Produkcja podstawowych chemikaliów, nawozów i związków azotowych, tworzyw sztucznych i kauczuku syntetycznego w formach podstawowych</t>
  </si>
  <si>
    <t xml:space="preserve">20.1 Produkcja podstawowych chemikaliów, nawozów i związków azotowych, tworzyw sztucznych i kauczuku syntetycznego w formach podstawowych </t>
  </si>
  <si>
    <t>20.2</t>
  </si>
  <si>
    <t>Produkcja pestycydów i pozostałych środków agrochemicznych</t>
  </si>
  <si>
    <t xml:space="preserve">20.2 Produkcja pestycydów i pozostałych środków agrochemicznych </t>
  </si>
  <si>
    <t>20.3</t>
  </si>
  <si>
    <t>Produkcja farb, lakierów i podobnych powłok, farb drukarskich i mas uszczelniających</t>
  </si>
  <si>
    <t xml:space="preserve">20.3 Produkcja farb, lakierów i podobnych powłok, farb drukarskich i mas uszczelniających </t>
  </si>
  <si>
    <t>20.4</t>
  </si>
  <si>
    <t>Produkcja mydła i detergentów, środków myjących i czyszczących, wyrobów kosmetycznych i toaletowych</t>
  </si>
  <si>
    <t xml:space="preserve">20.4 Produkcja mydła i detergentów, środków myjących i czyszczących, wyrobów kosmetycznych i toaletowych </t>
  </si>
  <si>
    <t>20.5</t>
  </si>
  <si>
    <t>Produkcja pozostałych wyrobów chemicznych</t>
  </si>
  <si>
    <t xml:space="preserve">20.5 Produkcja pozostałych wyrobów chemicznych </t>
  </si>
  <si>
    <t>20.6</t>
  </si>
  <si>
    <t>Produkcja włókien chemicznych</t>
  </si>
  <si>
    <t xml:space="preserve">20.6 Produkcja włókien chemicznych </t>
  </si>
  <si>
    <t>21.1</t>
  </si>
  <si>
    <t>Produkcja podstawowych substancji farmaceutycznych</t>
  </si>
  <si>
    <t xml:space="preserve">21.1 Produkcja podstawowych substancji farmaceutycznych </t>
  </si>
  <si>
    <t>21.2</t>
  </si>
  <si>
    <t>Produkcja leków i pozostałych wyrobów farmaceutycznych</t>
  </si>
  <si>
    <t xml:space="preserve">21.2 Produkcja leków i pozostałych wyrobów farmaceutycznych </t>
  </si>
  <si>
    <t>22.1</t>
  </si>
  <si>
    <t>Produkcja wyrobów z gumy</t>
  </si>
  <si>
    <t xml:space="preserve">22.1 Produkcja wyrobów z gumy </t>
  </si>
  <si>
    <t>22.2</t>
  </si>
  <si>
    <t>Produkcja wyrobów z tworzyw sztucznych</t>
  </si>
  <si>
    <t xml:space="preserve">22.2 Produkcja wyrobów z tworzyw sztucznych </t>
  </si>
  <si>
    <t>23.1</t>
  </si>
  <si>
    <t>Produkcja szkła i wyrobów ze szkła</t>
  </si>
  <si>
    <t xml:space="preserve">23.1 Produkcja szkła i wyrobów ze szkła </t>
  </si>
  <si>
    <t>23.2</t>
  </si>
  <si>
    <t>Produkcja wyrobów ogniotrwałych</t>
  </si>
  <si>
    <t xml:space="preserve">23.2 Produkcja wyrobów ogniotrwałych </t>
  </si>
  <si>
    <t>23.3</t>
  </si>
  <si>
    <t>Produkcja ceramicznych materiałów budowlanych</t>
  </si>
  <si>
    <t xml:space="preserve">23.3 Produkcja ceramicznych materiałów budowlanych </t>
  </si>
  <si>
    <t>23.4</t>
  </si>
  <si>
    <t>Produkcja pozostałych wyrobów z porcelany i ceramiki</t>
  </si>
  <si>
    <t xml:space="preserve">23.4 Produkcja pozostałych wyrobów z porcelany i ceramiki </t>
  </si>
  <si>
    <t>23.5</t>
  </si>
  <si>
    <t>Produkcja cementu, wapna i gipsu</t>
  </si>
  <si>
    <t xml:space="preserve">23.5 Produkcja cementu, wapna i gipsu </t>
  </si>
  <si>
    <t>23.6</t>
  </si>
  <si>
    <t>Produkcja wyrobów z betonu, cementu i gipsu</t>
  </si>
  <si>
    <t xml:space="preserve">23.6 Produkcja wyrobów z betonu, cementu i gipsu </t>
  </si>
  <si>
    <t>23.7</t>
  </si>
  <si>
    <t>Cięcie, formowanie i wykańczanie kamienia</t>
  </si>
  <si>
    <t xml:space="preserve">23.7 Cięcie, formowanie i wykańczanie kamienia </t>
  </si>
  <si>
    <t>23.9</t>
  </si>
  <si>
    <t>Produkcja wyrobów ściernych i pozostałych wyrobów z mineralnych surowców niemetalicznych, gdzie indziej niesklasyfikowana</t>
  </si>
  <si>
    <t xml:space="preserve">23.9 Produkcja wyrobów ściernych i pozostałych wyrobów z mineralnych surowców niemetalicznych, gdzie indziej niesklasyfikowana </t>
  </si>
  <si>
    <t>24.1</t>
  </si>
  <si>
    <t>Produkcja surówki, żelazostopów, żeliwa i stali oraz wyrobów hutniczych</t>
  </si>
  <si>
    <t xml:space="preserve">24.1 Produkcja surówki, żelazostopów, żeliwa i stali oraz wyrobów hutniczych </t>
  </si>
  <si>
    <t>24.2</t>
  </si>
  <si>
    <t>Produkcja rur, przewodów, kształtowników zamkniętych i łączników, ze stali</t>
  </si>
  <si>
    <t xml:space="preserve">24.2 Produkcja rur, przewodów, kształtowników zamkniętych i łączników, ze stali </t>
  </si>
  <si>
    <t>24.3</t>
  </si>
  <si>
    <t>Produkcja pozostałych wyrobów ze stali poddanej wstępnej obróbce</t>
  </si>
  <si>
    <t xml:space="preserve">24.3 Produkcja pozostałych wyrobów ze stali poddanej wstępnej obróbce </t>
  </si>
  <si>
    <t>24.4</t>
  </si>
  <si>
    <t>Produkcja metali szlachetnych i innych metali nieżelaznych</t>
  </si>
  <si>
    <t xml:space="preserve">24.4 Produkcja metali szlachetnych i innych metali nieżelaznych </t>
  </si>
  <si>
    <t>24.5</t>
  </si>
  <si>
    <t>Odlewnictwo metali</t>
  </si>
  <si>
    <t xml:space="preserve">24.5 Odlewnictwo metali </t>
  </si>
  <si>
    <t>25.1</t>
  </si>
  <si>
    <t>Produkcja metalowych elementów konstrukcyjnych</t>
  </si>
  <si>
    <t xml:space="preserve">25.1 Produkcja metalowych elementów konstrukcyjnych </t>
  </si>
  <si>
    <t>25.2</t>
  </si>
  <si>
    <t>Produkcja zbiorników, cystern i pojemników metalowych</t>
  </si>
  <si>
    <t xml:space="preserve">25.2 Produkcja zbiorników, cystern i pojemników metalowych </t>
  </si>
  <si>
    <t>25.3</t>
  </si>
  <si>
    <t>Produkcja wytwornic pary, z wyłączeniem kotłów do centralnego ogrzewania gorącą wodą</t>
  </si>
  <si>
    <t xml:space="preserve">25.3 Produkcja wytwornic pary, z wyłączeniem kotłów do centralnego ogrzewania gorącą wodą </t>
  </si>
  <si>
    <t>25.4</t>
  </si>
  <si>
    <t>Produkcja broni i amunicji</t>
  </si>
  <si>
    <t xml:space="preserve">25.4 Produkcja broni i amunicji </t>
  </si>
  <si>
    <t>25.5</t>
  </si>
  <si>
    <t>Kucie, prasowanie, wytłaczanie i walcowanie metali; metalurgia proszków</t>
  </si>
  <si>
    <t xml:space="preserve">25.5 Kucie, prasowanie, wytłaczanie i walcowanie metali; metalurgia proszków </t>
  </si>
  <si>
    <t>25.6</t>
  </si>
  <si>
    <t>Obróbka metali i nakładanie powłok na metale; obróbka mechaniczna elementów metalowych</t>
  </si>
  <si>
    <t xml:space="preserve">25.6 Obróbka metali i nakładanie powłok na metale; obróbka mechaniczna elementów metalowych </t>
  </si>
  <si>
    <t>25.7</t>
  </si>
  <si>
    <t>Produkcja wyrobów nożowniczych, sztućców, narzędzi i wyrobów metalowych ogólnego przeznaczenia</t>
  </si>
  <si>
    <t xml:space="preserve">25.7 Produkcja wyrobów nożowniczych, sztućców, narzędzi i wyrobów metalowych ogólnego przeznaczenia </t>
  </si>
  <si>
    <t>25.9</t>
  </si>
  <si>
    <t>Produkcja pozostałych gotowych wyrobów metalowych</t>
  </si>
  <si>
    <t xml:space="preserve">25.9 Produkcja pozostałych gotowych wyrobów metalowych </t>
  </si>
  <si>
    <t>26.1</t>
  </si>
  <si>
    <t>Produkcja elektronicznych elementów i obwodów drukowanych</t>
  </si>
  <si>
    <t xml:space="preserve">26.1 Produkcja elektronicznych elementów i obwodów drukowanych </t>
  </si>
  <si>
    <t>26.2</t>
  </si>
  <si>
    <t>Produkcja komputerów i urządzeń peryferyjnych</t>
  </si>
  <si>
    <t xml:space="preserve">26.2 Produkcja komputerów i urządzeń peryferyjnych </t>
  </si>
  <si>
    <t>26.3</t>
  </si>
  <si>
    <t>Produkcja sprzętu (tele)komunikacyjnego</t>
  </si>
  <si>
    <t xml:space="preserve">26.3 Produkcja sprzętu (tele)komunikacyjnego </t>
  </si>
  <si>
    <t>26.4</t>
  </si>
  <si>
    <t>Produkcja elektronicznego sprzętu powszechnego użytku</t>
  </si>
  <si>
    <t xml:space="preserve">26.4 Produkcja elektronicznego sprzętu powszechnego użytku </t>
  </si>
  <si>
    <t>26.5</t>
  </si>
  <si>
    <t>Produkcja instrumentów i przyrządów pomiarowych, kontrolnych i nawigacyjnych; produkcja zegarków i zegarów</t>
  </si>
  <si>
    <t xml:space="preserve">26.5 Produkcja instrumentów i przyrządów pomiarowych, kontrolnych i nawigacyjnych; produkcja zegarków i zegarów </t>
  </si>
  <si>
    <t>26.6</t>
  </si>
  <si>
    <t>Produkcja urządzeń napromieniowujących, sprzętu elektromedycznego i elektroterapeutycznego</t>
  </si>
  <si>
    <t xml:space="preserve">26.6 Produkcja urządzeń napromieniowujących, sprzętu elektromedycznego i elektroterapeutycznego </t>
  </si>
  <si>
    <t>26.7</t>
  </si>
  <si>
    <t>Produkcja instrumentów optycznych i sprzętu fotograficznego</t>
  </si>
  <si>
    <t xml:space="preserve">26.7 Produkcja instrumentów optycznych i sprzętu fotograficznego </t>
  </si>
  <si>
    <t>26.8</t>
  </si>
  <si>
    <t>Produkcja magnetycznych i optycznych niezapisanych nośników informacji</t>
  </si>
  <si>
    <t xml:space="preserve">26.8 Produkcja magnetycznych i optycznych niezapisanych nośników informacji </t>
  </si>
  <si>
    <t>27.1</t>
  </si>
  <si>
    <t>Produkcja elektrycznych silników, prądnic, transformatorów, aparatury rozdzielczej i sterowniczej energii elektrycznej</t>
  </si>
  <si>
    <t xml:space="preserve">27.1 Produkcja elektrycznych silników, prądnic, transformatorów, aparatury rozdzielczej i sterowniczej energii elektrycznej </t>
  </si>
  <si>
    <t>27.2</t>
  </si>
  <si>
    <t>Produkcja baterii i akumulatorów</t>
  </si>
  <si>
    <t xml:space="preserve">27.2 Produkcja baterii i akumulatorów </t>
  </si>
  <si>
    <t>27.3</t>
  </si>
  <si>
    <t>Produkcja izolowanych przewodów i kabli oraz sprzętu instalacyjnego</t>
  </si>
  <si>
    <t xml:space="preserve">27.3 Produkcja izolowanych przewodów i kabli oraz sprzętu instalacyjnego </t>
  </si>
  <si>
    <t>27.4</t>
  </si>
  <si>
    <t>Produkcja elektrycznego sprzętu oświetleniowego</t>
  </si>
  <si>
    <t xml:space="preserve">27.4 Produkcja elektrycznego sprzętu oświetleniowego </t>
  </si>
  <si>
    <t>27.5</t>
  </si>
  <si>
    <t>Produkcja sprzętu gospodarstwa domowego</t>
  </si>
  <si>
    <t xml:space="preserve">27.5 Produkcja sprzętu gospodarstwa domowego </t>
  </si>
  <si>
    <t>27.9</t>
  </si>
  <si>
    <t>Produkcja pozostałego sprzętu elektrycznego</t>
  </si>
  <si>
    <t xml:space="preserve">27.9 Produkcja pozostałego sprzętu elektrycznego </t>
  </si>
  <si>
    <t>28.1</t>
  </si>
  <si>
    <t>Produkcja maszyn ogólnego przeznaczenia</t>
  </si>
  <si>
    <t xml:space="preserve">28.1 Produkcja maszyn ogólnego przeznaczenia </t>
  </si>
  <si>
    <t>28.2</t>
  </si>
  <si>
    <t>Produkcja pozostałych maszyn ogólnego przeznaczenia</t>
  </si>
  <si>
    <t xml:space="preserve">28.2 Produkcja pozostałych maszyn ogólnego przeznaczenia </t>
  </si>
  <si>
    <t>28.3</t>
  </si>
  <si>
    <t>Produkcja maszyn dla rolnictwa i leśnictwa</t>
  </si>
  <si>
    <t xml:space="preserve">28.3 Produkcja maszyn dla rolnictwa i leśnictwa </t>
  </si>
  <si>
    <t>28.4</t>
  </si>
  <si>
    <t>Produkcja maszyn i narzędzi mechanicznych</t>
  </si>
  <si>
    <t xml:space="preserve">28.4 Produkcja maszyn i narzędzi mechanicznych </t>
  </si>
  <si>
    <t>28.9</t>
  </si>
  <si>
    <t>Produkcja pozostałych maszyn specjalnego przeznaczenia</t>
  </si>
  <si>
    <t xml:space="preserve">28.9 Produkcja pozostałych maszyn specjalnego przeznaczenia </t>
  </si>
  <si>
    <t>29.1</t>
  </si>
  <si>
    <t>Produkcja pojazdów samochodowych, z wyłączeniem motocykli</t>
  </si>
  <si>
    <t xml:space="preserve">29.1 Produkcja pojazdów samochodowych, z wyłączeniem motocykli </t>
  </si>
  <si>
    <t>29.2</t>
  </si>
  <si>
    <t>Produkcja nadwozi do pojazdów silnikowych; produkcja przyczep i naczep</t>
  </si>
  <si>
    <t xml:space="preserve">29.2 Produkcja nadwozi do pojazdów silnikowych; produkcja przyczep i naczep </t>
  </si>
  <si>
    <t>29.3</t>
  </si>
  <si>
    <t>Produkcja części i akcesoriów do pojazdów silnikowych</t>
  </si>
  <si>
    <t xml:space="preserve">29.3 Produkcja części i akcesoriów do pojazdów silnikowych </t>
  </si>
  <si>
    <t>30.1</t>
  </si>
  <si>
    <t>Produkcja statków i łodzi</t>
  </si>
  <si>
    <t xml:space="preserve">30.1 Produkcja statków i łodzi </t>
  </si>
  <si>
    <t>30.2</t>
  </si>
  <si>
    <t>Produkcja lokomotyw kolejowych oraz taboru szynowego</t>
  </si>
  <si>
    <t xml:space="preserve">30.2 Produkcja lokomotyw kolejowych oraz taboru szynowego </t>
  </si>
  <si>
    <t>30.3</t>
  </si>
  <si>
    <t>Produkcja statków powietrznych, statków kosmicznych i podobnych maszyn</t>
  </si>
  <si>
    <t xml:space="preserve">30.3 Produkcja statków powietrznych, statków kosmicznych i podobnych maszyn </t>
  </si>
  <si>
    <t>30.4</t>
  </si>
  <si>
    <t>Produkcja wojskowych pojazdów bojowych</t>
  </si>
  <si>
    <t xml:space="preserve">30.4 Produkcja wojskowych pojazdów bojowych </t>
  </si>
  <si>
    <t>30.9</t>
  </si>
  <si>
    <t>Produkcja sprzętu transportowego, gdzie indziej niesklasyfikowana</t>
  </si>
  <si>
    <t xml:space="preserve">30.9 Produkcja sprzętu transportowego, gdzie indziej niesklasyfikowana </t>
  </si>
  <si>
    <t>31.0</t>
  </si>
  <si>
    <t>Produkcja mebli</t>
  </si>
  <si>
    <t xml:space="preserve">31.0 Produkcja mebli </t>
  </si>
  <si>
    <t>32.1</t>
  </si>
  <si>
    <t>Produkcja wyrobów jubilerskich, biżuterii i podobnych wyrobów</t>
  </si>
  <si>
    <t xml:space="preserve">32.1 Produkcja wyrobów jubilerskich, biżuterii i podobnych wyrobów </t>
  </si>
  <si>
    <t>32.2</t>
  </si>
  <si>
    <t>Produkcja instrumentów muzycznych</t>
  </si>
  <si>
    <t xml:space="preserve">32.2 Produkcja instrumentów muzycznych </t>
  </si>
  <si>
    <t>32.3</t>
  </si>
  <si>
    <t>Produkcja sprzętu sportowego</t>
  </si>
  <si>
    <t xml:space="preserve">32.3 Produkcja sprzętu sportowego </t>
  </si>
  <si>
    <t>32.4</t>
  </si>
  <si>
    <t>Produkcja gier i zabawek</t>
  </si>
  <si>
    <t xml:space="preserve">32.4 Produkcja gier i zabawek </t>
  </si>
  <si>
    <t>32.5</t>
  </si>
  <si>
    <t>Produkcja urządzeń, instrumentów oraz wyrobów medycznych, włączając dentystyczne</t>
  </si>
  <si>
    <t xml:space="preserve">32.5 Produkcja urządzeń, instrumentów oraz wyrobów medycznych, włączając dentystyczne </t>
  </si>
  <si>
    <t>32.9</t>
  </si>
  <si>
    <t>Produkcja wyrobów, gdzie indziej niesklasyfikowana</t>
  </si>
  <si>
    <t xml:space="preserve">32.9 Produkcja wyrobów, gdzie indziej niesklasyfikowana </t>
  </si>
  <si>
    <t>33.1</t>
  </si>
  <si>
    <t>Naprawa i konserwacja metalowych wyrobów gotowych, maszyn i urządzeń</t>
  </si>
  <si>
    <t xml:space="preserve">33.1 Naprawa i konserwacja metalowych wyrobów gotowych, maszyn i urządzeń </t>
  </si>
  <si>
    <t>33.2</t>
  </si>
  <si>
    <t>Instalowanie maszyn przemysłowych, sprzętu i wyposażenia</t>
  </si>
  <si>
    <t xml:space="preserve">33.2 Instalowanie maszyn przemysłowych, sprzętu i wyposażenia </t>
  </si>
  <si>
    <t>35.1</t>
  </si>
  <si>
    <t>Wytwarzanie, przesyłanie, dystrybucja i handel energią elektryczną</t>
  </si>
  <si>
    <t xml:space="preserve">35.1 Wytwarzanie, przesyłanie, dystrybucja i handel energią elektryczną </t>
  </si>
  <si>
    <t>35.2</t>
  </si>
  <si>
    <t>Wytwarzanie paliw gazowych; dystrybucja i handel paliwami gazowymi w systemie sieciowym</t>
  </si>
  <si>
    <t xml:space="preserve">35.2 Wytwarzanie paliw gazowych; dystrybucja i handel paliwami gazowymi w systemie sieciowym </t>
  </si>
  <si>
    <t>35.3</t>
  </si>
  <si>
    <t>Wytwarzanie i zaopatrywanie w parę wodną, gorącą wodę i powietrze do układów klimatyzacyjnych</t>
  </si>
  <si>
    <t xml:space="preserve">35.3 Wytwarzanie i zaopatrywanie w parę wodną, gorącą wodę i powietrze do układów klimatyzacyjnych </t>
  </si>
  <si>
    <t>36.0</t>
  </si>
  <si>
    <t>Pobór, uzdatnianie i dostarczanie wody</t>
  </si>
  <si>
    <t xml:space="preserve">36.0 Pobór, uzdatnianie i dostarczanie wody </t>
  </si>
  <si>
    <t>37.0</t>
  </si>
  <si>
    <t>Odprowadzanie i oczyszczanie ścieków</t>
  </si>
  <si>
    <t xml:space="preserve">37.0 Odprowadzanie i oczyszczanie ścieków </t>
  </si>
  <si>
    <t>38.1</t>
  </si>
  <si>
    <t>Zbieranie odpadów</t>
  </si>
  <si>
    <t xml:space="preserve">38.1 Zbieranie odpadów </t>
  </si>
  <si>
    <t>38.2</t>
  </si>
  <si>
    <t>Przetwarzanie i unieszkodliwianie odpadów</t>
  </si>
  <si>
    <t xml:space="preserve">38.2 Przetwarzanie i unieszkodliwianie odpadów </t>
  </si>
  <si>
    <t>38.3</t>
  </si>
  <si>
    <t>Odzysk surowców</t>
  </si>
  <si>
    <t xml:space="preserve">38.3 Odzysk surowców </t>
  </si>
  <si>
    <t>39.0</t>
  </si>
  <si>
    <t>Działalność związana z rekultywacją i pozostała działalność usługowa związana z gospodarką odpadami</t>
  </si>
  <si>
    <t xml:space="preserve">39.0 Działalność związana z rekultywacją i pozostała działalność usługowa związana z gospodarką odpadami </t>
  </si>
  <si>
    <t>41.1</t>
  </si>
  <si>
    <t>Realizacja projektów budowlanych związanych ze wznoszeniem budynków</t>
  </si>
  <si>
    <t xml:space="preserve">41.1 Realizacja projektów budowlanych związanych ze wznoszeniem budynków </t>
  </si>
  <si>
    <t>41.2</t>
  </si>
  <si>
    <t>Roboty budowlane związane ze wznoszeniem budynków mieszkalnych i niemieszkalnych</t>
  </si>
  <si>
    <t xml:space="preserve">41.2 Roboty budowlane związane ze wznoszeniem budynków mieszkalnych i niemieszkalnych </t>
  </si>
  <si>
    <t>42.1</t>
  </si>
  <si>
    <t>Roboty związane z budową dróg kołowych i szynowych</t>
  </si>
  <si>
    <t xml:space="preserve">42.1 Roboty związane z budową dróg kołowych i szynowych </t>
  </si>
  <si>
    <t>42.2</t>
  </si>
  <si>
    <t>Roboty związane z budową rurociągów, linii telekomunikacyjnych i elektroenergetycznych</t>
  </si>
  <si>
    <t xml:space="preserve">42.2 Roboty związane z budową rurociągów, linii telekomunikacyjnych i elektroenergetycznych </t>
  </si>
  <si>
    <t>42.9</t>
  </si>
  <si>
    <t>Roboty związane z budową pozostałych obiektów inżynierii lądowej i wodnej</t>
  </si>
  <si>
    <t xml:space="preserve">42.9 Roboty związane z budową pozostałych obiektów inżynierii lądowej i wodnej </t>
  </si>
  <si>
    <t>43.1</t>
  </si>
  <si>
    <t>Rozbiórka i przygotowanie terenu pod budowę</t>
  </si>
  <si>
    <t xml:space="preserve">43.1 Rozbiórka i przygotowanie terenu pod budowę </t>
  </si>
  <si>
    <t>43.2</t>
  </si>
  <si>
    <t>Wykonywanie instalacji elektrycznych, wodno-kanalizacyjnych i pozostałych instalacji budowlanych</t>
  </si>
  <si>
    <t xml:space="preserve">43.2 Wykonywanie instalacji elektrycznych, wodno-kanalizacyjnych i pozostałych instalacji budowlanych </t>
  </si>
  <si>
    <t>43.3</t>
  </si>
  <si>
    <t>Wykonywanie robót budowlanych wykończeniowych</t>
  </si>
  <si>
    <t xml:space="preserve">43.3 Wykonywanie robót budowlanych wykończeniowych </t>
  </si>
  <si>
    <t>43.9</t>
  </si>
  <si>
    <t>Pozostałe specjalistyczne roboty budowlane</t>
  </si>
  <si>
    <t xml:space="preserve">43.9 Pozostałe specjalistyczne roboty budowlane </t>
  </si>
  <si>
    <t>45.1</t>
  </si>
  <si>
    <t>Sprzedaż hurtowa i detaliczna pojazdów samochodowych, z wyłączeniem motocykli</t>
  </si>
  <si>
    <t xml:space="preserve">45.1 Sprzedaż hurtowa i detaliczna pojazdów samochodowych, z wyłączeniem motocykli </t>
  </si>
  <si>
    <t>45.2</t>
  </si>
  <si>
    <t>Konserwacja i naprawa pojazdów samochodowych, z wyłączeniem motocykli</t>
  </si>
  <si>
    <t xml:space="preserve">45.2 Konserwacja i naprawa pojazdów samochodowych, z wyłączeniem motocykli </t>
  </si>
  <si>
    <t>45.3</t>
  </si>
  <si>
    <t>Sprzedaż hurtowa i detaliczna części i akcesoriów do pojazdów samochodowych, z wyłączeniem motocykli</t>
  </si>
  <si>
    <t xml:space="preserve">45.3 Sprzedaż hurtowa i detaliczna części i akcesoriów do pojazdów samochodowych, z wyłączeniem motocykli </t>
  </si>
  <si>
    <t>45.4</t>
  </si>
  <si>
    <t>Sprzedaż hurtowa i detaliczna motocykli, ich naprawa i konserwacja oraz sprzedaż hurtowa i detaliczna części i akcesoriów do nich</t>
  </si>
  <si>
    <t xml:space="preserve">45.4 Sprzedaż hurtowa i detaliczna motocykli, ich naprawa i konserwacja oraz sprzedaż hurtowa i detaliczna części i akcesoriów do nich </t>
  </si>
  <si>
    <t>46.1</t>
  </si>
  <si>
    <t>Sprzedaż hurtowa realizowana na zlecenie</t>
  </si>
  <si>
    <t xml:space="preserve">46.1 Sprzedaż hurtowa realizowana na zlecenie </t>
  </si>
  <si>
    <t>46.2</t>
  </si>
  <si>
    <t>Sprzedaż hurtowa płodów rolnych i żywych zwierząt</t>
  </si>
  <si>
    <t xml:space="preserve">46.2 Sprzedaż hurtowa płodów rolnych i żywych zwierząt </t>
  </si>
  <si>
    <t>46.3</t>
  </si>
  <si>
    <t>Sprzedaż hurtowa żywności, napojów i wyrobów tytoniowych</t>
  </si>
  <si>
    <t xml:space="preserve">46.3 Sprzedaż hurtowa żywności, napojów i wyrobów tytoniowych </t>
  </si>
  <si>
    <t>46.4</t>
  </si>
  <si>
    <t>Sprzedaż hurtowa artykułów użytku domowego</t>
  </si>
  <si>
    <t xml:space="preserve">46.4 Sprzedaż hurtowa artykułów użytku domowego </t>
  </si>
  <si>
    <t>46.5</t>
  </si>
  <si>
    <t>Sprzedaż hurtowa narzędzi technologii informacyjnej i komunikacyjnej</t>
  </si>
  <si>
    <t xml:space="preserve">46.5 Sprzedaż hurtowa narzędzi technologii informacyjnej i komunikacyjnej </t>
  </si>
  <si>
    <t>46.6</t>
  </si>
  <si>
    <t>Sprzedaż hurtowa maszyn, urządzeń i dodatkowego wyposażenia</t>
  </si>
  <si>
    <t xml:space="preserve">46.6 Sprzedaż hurtowa maszyn, urządzeń i dodatkowego wyposażenia </t>
  </si>
  <si>
    <t>46.7</t>
  </si>
  <si>
    <t>Pozostała wyspecjalizowana sprzedaż hurtowa</t>
  </si>
  <si>
    <t xml:space="preserve">46.7 Pozostała wyspecjalizowana sprzedaż hurtowa </t>
  </si>
  <si>
    <t>46.9</t>
  </si>
  <si>
    <t>Sprzedaż hurtowa niewyspecjalizowana</t>
  </si>
  <si>
    <t xml:space="preserve">46.9 Sprzedaż hurtowa niewyspecjalizowana </t>
  </si>
  <si>
    <t>47.1</t>
  </si>
  <si>
    <t>Sprzedaż detaliczna prowadzona w niewyspecjalizowanych sklepach</t>
  </si>
  <si>
    <t xml:space="preserve">47.1 Sprzedaż detaliczna prowadzona w niewyspecjalizowanych sklepach </t>
  </si>
  <si>
    <t>47.2</t>
  </si>
  <si>
    <t>Sprzedaż detaliczna żywności, napojów i wyrobów tytoniowych prowadzona w wyspecjalizowanych sklepach</t>
  </si>
  <si>
    <t xml:space="preserve">47.2 Sprzedaż detaliczna żywności, napojów i wyrobów tytoniowych prowadzona w wyspecjalizowanych sklepach </t>
  </si>
  <si>
    <t>47.3</t>
  </si>
  <si>
    <t>Sprzedaż detaliczna paliw do pojazdów silnikowych na stacjach paliw</t>
  </si>
  <si>
    <t xml:space="preserve">47.3 Sprzedaż detaliczna paliw do pojazdów silnikowych na stacjach paliw </t>
  </si>
  <si>
    <t>47.4</t>
  </si>
  <si>
    <t>Sprzedaż detaliczna narzędzi technologii informacyjnej i komunikacyjnej prowadzona w wyspecjalizowanych sklepach</t>
  </si>
  <si>
    <t xml:space="preserve">47.4 Sprzedaż detaliczna narzędzi technologii informacyjnej i komunikacyjnej prowadzona w wyspecjalizowanych sklepach </t>
  </si>
  <si>
    <t>47.5</t>
  </si>
  <si>
    <t>Sprzedaż detaliczna artykułów użytku domowego prowadzona w wyspecjalizowanych sklepach</t>
  </si>
  <si>
    <t xml:space="preserve">47.5 Sprzedaż detaliczna artykułów użytku domowego prowadzona w wyspecjalizowanych sklepach </t>
  </si>
  <si>
    <t>47.6</t>
  </si>
  <si>
    <t>Sprzedaż detaliczna wyrobów związanych z kulturą i rekreacją prowadzona w wyspecjalizowanych sklepach</t>
  </si>
  <si>
    <t xml:space="preserve">47.6 Sprzedaż detaliczna wyrobów związanych z kulturą i rekreacją prowadzona w wyspecjalizowanych sklepach </t>
  </si>
  <si>
    <t>47.7</t>
  </si>
  <si>
    <t>Sprzedaż detaliczna pozostałych wyrobów prowadzona w wyspecjalizowanych sklepach</t>
  </si>
  <si>
    <t xml:space="preserve">47.7 Sprzedaż detaliczna pozostałych wyrobów prowadzona w wyspecjalizowanych sklepach </t>
  </si>
  <si>
    <t>47.8</t>
  </si>
  <si>
    <t>Sprzedaż detaliczna prowadzona na straganach i targowiskach</t>
  </si>
  <si>
    <t xml:space="preserve">47.8 Sprzedaż detaliczna prowadzona na straganach i targowiskach </t>
  </si>
  <si>
    <t>47.9</t>
  </si>
  <si>
    <t>Sprzedaż detaliczna prowadzona poza siecią sklepową, straganami i targowiskami</t>
  </si>
  <si>
    <t xml:space="preserve">47.9 Sprzedaż detaliczna prowadzona poza siecią sklepową, straganami i targowiskami </t>
  </si>
  <si>
    <t>49.1</t>
  </si>
  <si>
    <t>Transport kolejowy pasażerski międzymiastowy</t>
  </si>
  <si>
    <t xml:space="preserve">49.1 Transport kolejowy pasażerski międzymiastowy </t>
  </si>
  <si>
    <t>49.2</t>
  </si>
  <si>
    <t>Transport kolejowy towarów</t>
  </si>
  <si>
    <t xml:space="preserve">49.2 Transport kolejowy towarów </t>
  </si>
  <si>
    <t>49.3</t>
  </si>
  <si>
    <t>Pozostały transport lądowy pasażerski</t>
  </si>
  <si>
    <t xml:space="preserve">49.3 Pozostały transport lądowy pasażerski </t>
  </si>
  <si>
    <t>49.4</t>
  </si>
  <si>
    <t>Transport drogowy towarów oraz działalność usługowa związana z przeprowadzkami</t>
  </si>
  <si>
    <t xml:space="preserve">49.4 Transport drogowy towarów oraz działalność usługowa związana z przeprowadzkami </t>
  </si>
  <si>
    <t>49.5</t>
  </si>
  <si>
    <t>Transport rurociągowy</t>
  </si>
  <si>
    <t xml:space="preserve">49.5 Transport rurociągowy </t>
  </si>
  <si>
    <t>50.1</t>
  </si>
  <si>
    <t>Transport morski i przybrzeżny pasażerski</t>
  </si>
  <si>
    <t xml:space="preserve">50.1 Transport morski i przybrzeżny pasażerski </t>
  </si>
  <si>
    <t>50.2</t>
  </si>
  <si>
    <t>Transport morski i przybrzeżny towarów</t>
  </si>
  <si>
    <t xml:space="preserve">50.2 Transport morski i przybrzeżny towarów </t>
  </si>
  <si>
    <t>50.3</t>
  </si>
  <si>
    <t>Transport wodny śródlądowy pasażerski</t>
  </si>
  <si>
    <t xml:space="preserve">50.3 Transport wodny śródlądowy pasażerski </t>
  </si>
  <si>
    <t>50.4</t>
  </si>
  <si>
    <t>Transport wodny śródlądowy towarów</t>
  </si>
  <si>
    <t xml:space="preserve">50.4 Transport wodny śródlądowy towarów </t>
  </si>
  <si>
    <t>51.1</t>
  </si>
  <si>
    <t>Transport lotniczy pasażerski</t>
  </si>
  <si>
    <t xml:space="preserve">51.1 Transport lotniczy pasażerski </t>
  </si>
  <si>
    <t>51.2</t>
  </si>
  <si>
    <t>Transport lotniczy towarów i transport kosmiczny</t>
  </si>
  <si>
    <t xml:space="preserve">51.2 Transport lotniczy towarów i transport kosmiczny </t>
  </si>
  <si>
    <t>52.1</t>
  </si>
  <si>
    <t>Magazynowanie i przechowywanie towarów</t>
  </si>
  <si>
    <t xml:space="preserve">52.1 Magazynowanie i przechowywanie towarów </t>
  </si>
  <si>
    <t>52.2</t>
  </si>
  <si>
    <t>Działalność usługowa wspomagająca transport</t>
  </si>
  <si>
    <t xml:space="preserve">52.2 Działalność usługowa wspomagająca transport </t>
  </si>
  <si>
    <t>53.1</t>
  </si>
  <si>
    <t>Działalność pocztowa objęta obowiązkiem świadczenia usług powszechnych (operatora publicznego)</t>
  </si>
  <si>
    <t xml:space="preserve">53.1 Działalność pocztowa objęta obowiązkiem świadczenia usług powszechnych (operatora publicznego) </t>
  </si>
  <si>
    <t>53.2</t>
  </si>
  <si>
    <t>Pozostała działalność pocztowa i kurierska</t>
  </si>
  <si>
    <t xml:space="preserve">53.2 Pozostała działalność pocztowa i kurierska </t>
  </si>
  <si>
    <t>55.1</t>
  </si>
  <si>
    <t>Hotele i podobne obiekty zakwaterowania</t>
  </si>
  <si>
    <t xml:space="preserve">55.1 Hotele i podobne obiekty zakwaterowania </t>
  </si>
  <si>
    <t>55.2</t>
  </si>
  <si>
    <t>Obiekty noclegowe turystyczne i miejsca krótkotrwałego zakwaterowania</t>
  </si>
  <si>
    <t xml:space="preserve">55.2 Obiekty noclegowe turystyczne i miejsca krótkotrwałego zakwaterowania </t>
  </si>
  <si>
    <t>55.3</t>
  </si>
  <si>
    <t>Pola kempingowe (włączając pola dla pojazdów kempingowych) i pola namiotowe</t>
  </si>
  <si>
    <t xml:space="preserve">55.3 Pola kempingowe (włączając pola dla pojazdów kempingowych) i pola namiotowe </t>
  </si>
  <si>
    <t>55.9</t>
  </si>
  <si>
    <t>Pozostałe zakwaterowanie</t>
  </si>
  <si>
    <t xml:space="preserve">55.9 Pozostałe zakwaterowanie </t>
  </si>
  <si>
    <t>56.1</t>
  </si>
  <si>
    <t>Restauracje i pozostałe placówki gastronomiczne</t>
  </si>
  <si>
    <t xml:space="preserve">56.1 Restauracje i pozostałe placówki gastronomiczne </t>
  </si>
  <si>
    <t>56.2</t>
  </si>
  <si>
    <t>Przygotowywanie żywności dla odbiorców zewnętrznych (katering) i pozostała gastronomiczna działalność usługowa</t>
  </si>
  <si>
    <t xml:space="preserve">56.2 Przygotowywanie żywności dla odbiorców zewnętrznych (katering) i pozostała gastronomiczna działalność usługowa </t>
  </si>
  <si>
    <t>56.3</t>
  </si>
  <si>
    <t>Przygotowywanie i podawanie napojów</t>
  </si>
  <si>
    <t xml:space="preserve">56.3 Przygotowywanie i podawanie napojów </t>
  </si>
  <si>
    <t>58.1</t>
  </si>
  <si>
    <t>Wydawanie książek i periodyków oraz pozostała działalność wydawnicza, z wyłączeniem w zakresie oprogramowania</t>
  </si>
  <si>
    <t xml:space="preserve">58.1 Wydawanie książek i periodyków oraz pozostała działalność wydawnicza, z wyłączeniem w zakresie oprogramowania </t>
  </si>
  <si>
    <t>58.2</t>
  </si>
  <si>
    <t>Działalność wydawnicza w zakresie oprogramowania</t>
  </si>
  <si>
    <t xml:space="preserve">58.2 Działalność wydawnicza w zakresie oprogramowania </t>
  </si>
  <si>
    <t>59.1</t>
  </si>
  <si>
    <t>Działalność związana z filmami, nagraniami wideo</t>
  </si>
  <si>
    <t xml:space="preserve">59.1 Działalność związana z filmami, nagraniami wideo </t>
  </si>
  <si>
    <t>59.2</t>
  </si>
  <si>
    <t>Działalność w zakresie nagrań dźwiękowych i muzycznych</t>
  </si>
  <si>
    <t xml:space="preserve">59.2 Działalność w zakresie nagrań dźwiękowych i muzycznych </t>
  </si>
  <si>
    <t>60.1</t>
  </si>
  <si>
    <t>Nadawanie programów radiofonicznych</t>
  </si>
  <si>
    <t xml:space="preserve">60.1 Nadawanie programów radiofonicznych </t>
  </si>
  <si>
    <t>60.2</t>
  </si>
  <si>
    <t>Nadawanie programów telewizyjnych ogólnodostępnych i abonamentowych</t>
  </si>
  <si>
    <t xml:space="preserve">60.2 Nadawanie programów telewizyjnych ogólnodostępnych i abonamentowych </t>
  </si>
  <si>
    <t>61.1</t>
  </si>
  <si>
    <t>Działalność w zakresie telekomunikacji przewodowej</t>
  </si>
  <si>
    <t xml:space="preserve">61.1 Działalność w zakresie telekomunikacji przewodowej </t>
  </si>
  <si>
    <t>61.2</t>
  </si>
  <si>
    <t>Działalność w zakresie telekomunikacji bezprzewodowej, z wyłączeniem telekomunikacji satelitarnej</t>
  </si>
  <si>
    <t xml:space="preserve">61.2 Działalność w zakresie telekomunikacji bezprzewodowej, z wyłączeniem telekomunikacji satelitarnej </t>
  </si>
  <si>
    <t>61.3</t>
  </si>
  <si>
    <t>Działalność w zakresie telekomunikacji satelitarnej</t>
  </si>
  <si>
    <t xml:space="preserve">61.3 Działalność w zakresie telekomunikacji satelitarnej </t>
  </si>
  <si>
    <t>61.9</t>
  </si>
  <si>
    <t>Działalność w zakresie pozostałej telekomunikacji</t>
  </si>
  <si>
    <t xml:space="preserve">61.9 Działalność w zakresie pozostałej telekomunikacji </t>
  </si>
  <si>
    <t>62.0</t>
  </si>
  <si>
    <t>Działalność związana z oprogramowaniem i doradztwem w zakresie informatyki oraz dzialalność powiązana</t>
  </si>
  <si>
    <t xml:space="preserve">62.0 Działalność związana z oprogramowaniem i doradztwem w zakresie informatyki oraz dzialalność powiązana </t>
  </si>
  <si>
    <t>63.1</t>
  </si>
  <si>
    <t>Przetwarzanie danych; zarządzanie stronami internetowymi (hosting) i podobna działalność; działalność portali internetowych</t>
  </si>
  <si>
    <t xml:space="preserve">63.1 Przetwarzanie danych; zarządzanie stronami internetowymi (hosting) i podobna działalność; działalność portali internetowych </t>
  </si>
  <si>
    <t>63.9</t>
  </si>
  <si>
    <t>Pozostała działalność usługowa w zakresie informacji</t>
  </si>
  <si>
    <t xml:space="preserve">63.9 Pozostała działalność usługowa w zakresie informacji </t>
  </si>
  <si>
    <t>64.1</t>
  </si>
  <si>
    <t>Pośrednictwo pieniężne</t>
  </si>
  <si>
    <t xml:space="preserve">64.1 Pośrednictwo pieniężne </t>
  </si>
  <si>
    <t>64.2</t>
  </si>
  <si>
    <t>Działalność holdingów finansowych</t>
  </si>
  <si>
    <t xml:space="preserve">64.2 Działalność holdingów finansowych </t>
  </si>
  <si>
    <t>64.3</t>
  </si>
  <si>
    <t>Działalność trustów, funduszów i podobnych instytucji finansowych</t>
  </si>
  <si>
    <t xml:space="preserve">64.3 Działalność trustów, funduszów i podobnych instytucji finansowych </t>
  </si>
  <si>
    <t>64.9</t>
  </si>
  <si>
    <t>Pozostała finansowa działalność usługowa, z wyłączeniem ubezpieczeń i funduszów emerytalnych</t>
  </si>
  <si>
    <t xml:space="preserve">64.9 Pozostała finansowa działalność usługowa, z wyłączeniem ubezpieczeń i funduszów emerytalnych </t>
  </si>
  <si>
    <t>65.1</t>
  </si>
  <si>
    <t>Ubezpieczenia</t>
  </si>
  <si>
    <t xml:space="preserve">65.1 Ubezpieczenia </t>
  </si>
  <si>
    <t>65.2</t>
  </si>
  <si>
    <t>Reasekuracja</t>
  </si>
  <si>
    <t xml:space="preserve">65.2 Reasekuracja </t>
  </si>
  <si>
    <t>65.3</t>
  </si>
  <si>
    <t>Fundusze emerytalne</t>
  </si>
  <si>
    <t xml:space="preserve">65.3 Fundusze emerytalne </t>
  </si>
  <si>
    <t>66.1</t>
  </si>
  <si>
    <t>Działalność wspomagająca usługi finansowe, z wyłączeniem ubezpieczeń i funduszów emerytalnych</t>
  </si>
  <si>
    <t xml:space="preserve">66.1 Działalność wspomagająca usługi finansowe, z wyłączeniem ubezpieczeń i funduszów emerytalnych </t>
  </si>
  <si>
    <t>66.2</t>
  </si>
  <si>
    <t>Działalność wspomagająca ubezpieczenia i fundusze emerytalne</t>
  </si>
  <si>
    <t xml:space="preserve">66.2 Działalność wspomagająca ubezpieczenia i fundusze emerytalne </t>
  </si>
  <si>
    <t>66.3</t>
  </si>
  <si>
    <t>Działalność związana z zarządzaniem funduszami</t>
  </si>
  <si>
    <t xml:space="preserve">66.3 Działalność związana z zarządzaniem funduszami </t>
  </si>
  <si>
    <t>68.1</t>
  </si>
  <si>
    <t>Kupno i sprzedaż nieruchomości na własny rachunek</t>
  </si>
  <si>
    <t xml:space="preserve">68.1 Kupno i sprzedaż nieruchomości na własny rachunek </t>
  </si>
  <si>
    <t>68.2</t>
  </si>
  <si>
    <t>Wynajem i zarządzanie nieruchomościami własnymi lub dzierżawionymi</t>
  </si>
  <si>
    <t xml:space="preserve">68.2 Wynajem i zarządzanie nieruchomościami własnymi lub dzierżawionymi </t>
  </si>
  <si>
    <t>68.3</t>
  </si>
  <si>
    <t>Działalność związana z obsługą rynku nieruchomości wykonywana na zlecenie</t>
  </si>
  <si>
    <t xml:space="preserve">68.3 Działalność związana z obsługą rynku nieruchomości wykonywana na zlecenie </t>
  </si>
  <si>
    <t>69.1</t>
  </si>
  <si>
    <t>Działalność prawnicza</t>
  </si>
  <si>
    <t xml:space="preserve">69.1 Działalność prawnicza </t>
  </si>
  <si>
    <t>69.2</t>
  </si>
  <si>
    <t>Działalność rachunkowo-księgowa; doradztwo podatkowe</t>
  </si>
  <si>
    <t xml:space="preserve">69.2 Działalność rachunkowo-księgowa; doradztwo podatkowe </t>
  </si>
  <si>
    <t>70.1</t>
  </si>
  <si>
    <t>Działalność firm centralnych (head offices) i holdingów, z wyłączeniem holdingów finansowych</t>
  </si>
  <si>
    <t xml:space="preserve">70.1 Działalność firm centralnych (head offices) i holdingów, z wyłączeniem holdingów finansowych </t>
  </si>
  <si>
    <t>70.2</t>
  </si>
  <si>
    <t>Doradztwo związane z zarządzaniem</t>
  </si>
  <si>
    <t xml:space="preserve">70.2 Doradztwo związane z zarządzaniem </t>
  </si>
  <si>
    <t>71.1</t>
  </si>
  <si>
    <t>Działalność w zakresie architektury i inżynierii oraz związane z nią doradztwo techniczne</t>
  </si>
  <si>
    <t xml:space="preserve">71.1 Działalność w zakresie architektury i inżynierii oraz związane z nią doradztwo techniczne </t>
  </si>
  <si>
    <t>71.2</t>
  </si>
  <si>
    <t>Badania i analizy techniczne</t>
  </si>
  <si>
    <t xml:space="preserve">71.2 Badania i analizy techniczne </t>
  </si>
  <si>
    <t>72.1</t>
  </si>
  <si>
    <t>Badania naukowe i prace rozwojowe w dziedzinie nauk przyrodniczych i technicznych</t>
  </si>
  <si>
    <t xml:space="preserve">72.1 Badania naukowe i prace rozwojowe w dziedzinie nauk przyrodniczych i technicznych </t>
  </si>
  <si>
    <t>72.2</t>
  </si>
  <si>
    <t>Badania naukowe i prace rozwojowe w dziedzinie nauk społecznych i humanistycznych</t>
  </si>
  <si>
    <t xml:space="preserve">72.2 Badania naukowe i prace rozwojowe w dziedzinie nauk społecznych i humanistycznych </t>
  </si>
  <si>
    <t>73.1</t>
  </si>
  <si>
    <t>Reklama</t>
  </si>
  <si>
    <t xml:space="preserve">73.1 Reklama </t>
  </si>
  <si>
    <t>73.2</t>
  </si>
  <si>
    <t>Badanie rynku i opinii publicznej</t>
  </si>
  <si>
    <t xml:space="preserve">73.2 Badanie rynku i opinii publicznej </t>
  </si>
  <si>
    <t>74.1</t>
  </si>
  <si>
    <t>Działalność w zakresie specjalistycznego projektowania</t>
  </si>
  <si>
    <t xml:space="preserve">74.1 Działalność w zakresie specjalistycznego projektowania </t>
  </si>
  <si>
    <t>74.2</t>
  </si>
  <si>
    <t>Działalność fotograficzna</t>
  </si>
  <si>
    <t xml:space="preserve">74.2 Działalność fotograficzna </t>
  </si>
  <si>
    <t>74.3</t>
  </si>
  <si>
    <t>Działalność związana z tłumaczeniami</t>
  </si>
  <si>
    <t xml:space="preserve">74.3 Działalność związana z tłumaczeniami </t>
  </si>
  <si>
    <t>74.9</t>
  </si>
  <si>
    <t>Pozostała działalność profesjonalna, naukowa i techniczna, gdzie indziej niesklasyfikowana</t>
  </si>
  <si>
    <t xml:space="preserve">74.9 Pozostała działalność profesjonalna, naukowa i techniczna, gdzie indziej niesklasyfikowana </t>
  </si>
  <si>
    <t>75.0</t>
  </si>
  <si>
    <t>Działalność weterynaryjna</t>
  </si>
  <si>
    <t xml:space="preserve">75.0 Działalność weterynaryjna </t>
  </si>
  <si>
    <t>77.1</t>
  </si>
  <si>
    <t>Wynajem i dzierżawa pojazdów samochodowych, z wyłączeniem motocykli</t>
  </si>
  <si>
    <t xml:space="preserve">77.1 Wynajem i dzierżawa pojazdów samochodowych, z wyłączeniem motocykli </t>
  </si>
  <si>
    <t>77.2</t>
  </si>
  <si>
    <t>Wypożyczanie i dzierżawa artykułów użytku osobistego</t>
  </si>
  <si>
    <t xml:space="preserve">77.2 Wypożyczanie i dzierżawa artykułów użytku osobistego </t>
  </si>
  <si>
    <t>77.3</t>
  </si>
  <si>
    <t>Wynajem i dzierżawa pozostałych maszyn, urządzeń oraz dóbr materialnych</t>
  </si>
  <si>
    <t xml:space="preserve">77.3 Wynajem i dzierżawa pozostałych maszyn, urządzeń oraz dóbr materialnych </t>
  </si>
  <si>
    <t>77.4</t>
  </si>
  <si>
    <t>Dzierżawa własności intelektualnej i podobnych produktów, z wyłączeniem prac chronionych prawem autorskim</t>
  </si>
  <si>
    <t xml:space="preserve">77.4 Dzierżawa własności intelektualnej i podobnych produktów, z wyłączeniem prac chronionych prawem autorskim </t>
  </si>
  <si>
    <t>78.1</t>
  </si>
  <si>
    <t>Działalność związana z wyszukiwaniem miejsc pracy i pozyskiwaniem pracowników</t>
  </si>
  <si>
    <t xml:space="preserve">78.1 Działalność związana z wyszukiwaniem miejsc pracy i pozyskiwaniem pracowników </t>
  </si>
  <si>
    <t>78.2</t>
  </si>
  <si>
    <t>Działalność agencji pracy tymczasowej</t>
  </si>
  <si>
    <t xml:space="preserve">78.2 Działalność agencji pracy tymczasowej </t>
  </si>
  <si>
    <t>78.3</t>
  </si>
  <si>
    <t>Pozostała działalność związana z udostępnianiem pracowników</t>
  </si>
  <si>
    <t xml:space="preserve">78.3 Pozostała działalność związana z udostępnianiem pracowników </t>
  </si>
  <si>
    <t>79.1</t>
  </si>
  <si>
    <t>Działalność agentów i pośredników turystycznych oraz organizatorów turystyki</t>
  </si>
  <si>
    <t xml:space="preserve">79.1 Działalność agentów i pośredników turystycznych oraz organizatorów turystyki </t>
  </si>
  <si>
    <t>79.9</t>
  </si>
  <si>
    <t>Pozostała działalność usługowa w zakresie rezerwacji i działalności z nią związane</t>
  </si>
  <si>
    <t xml:space="preserve">79.9 Pozostała działalność usługowa w zakresie rezerwacji i działalności z nią związane </t>
  </si>
  <si>
    <t>80.1</t>
  </si>
  <si>
    <t>Działalność ochroniarska, z wyłączeniem obsługi systemów bezpieczeństwa</t>
  </si>
  <si>
    <t xml:space="preserve">80.1 Działalność ochroniarska, z wyłączeniem obsługi systemów bezpieczeństwa </t>
  </si>
  <si>
    <t>80.2</t>
  </si>
  <si>
    <t>Działalność ochroniarska w zakresie obsługi systemów bezpieczeństwa</t>
  </si>
  <si>
    <t xml:space="preserve">80.2 Działalność ochroniarska w zakresie obsługi systemów bezpieczeństwa </t>
  </si>
  <si>
    <t>80.3</t>
  </si>
  <si>
    <t>Działalność detektywistyczna</t>
  </si>
  <si>
    <t xml:space="preserve">80.3 Działalność detektywistyczna </t>
  </si>
  <si>
    <t>81.1</t>
  </si>
  <si>
    <t>Działalność pomocnicza związana z utrzymaniem porządku w budynkach</t>
  </si>
  <si>
    <t xml:space="preserve">81.1 Działalność pomocnicza związana z utrzymaniem porządku w budynkach </t>
  </si>
  <si>
    <t>81.2</t>
  </si>
  <si>
    <t>Sprzątanie obiektów</t>
  </si>
  <si>
    <t xml:space="preserve">81.2 Sprzątanie obiektów </t>
  </si>
  <si>
    <t>81.3</t>
  </si>
  <si>
    <t>Działalność usługowa związana z zagospodarowaniem terenów zieleni</t>
  </si>
  <si>
    <t xml:space="preserve">81.3 Działalność usługowa związana z zagospodarowaniem terenów zieleni </t>
  </si>
  <si>
    <t>82.1</t>
  </si>
  <si>
    <t>Działalność związana z administracyjną obsługą biura, włączając działalność wspomagającą</t>
  </si>
  <si>
    <t xml:space="preserve">82.1 Działalność związana z administracyjną obsługą biura, włączając działalność wspomagającą </t>
  </si>
  <si>
    <t>82.2</t>
  </si>
  <si>
    <t>Działalność centrów telefonicznych (call center)</t>
  </si>
  <si>
    <t xml:space="preserve">82.2 Działalność centrów telefonicznych (call center) </t>
  </si>
  <si>
    <t>82.3</t>
  </si>
  <si>
    <t>Działalność związana z organizacją targów, wystaw i kongresów</t>
  </si>
  <si>
    <t xml:space="preserve">82.3 Działalność związana z organizacją targów, wystaw i kongresów </t>
  </si>
  <si>
    <t>82.9</t>
  </si>
  <si>
    <t>Działalność komercyjna, gdzie indziej niesklasyfikowana</t>
  </si>
  <si>
    <t xml:space="preserve">82.9 Działalność komercyjna, gdzie indziej niesklasyfikowana </t>
  </si>
  <si>
    <t>84.1</t>
  </si>
  <si>
    <t>Administracja publiczna oraz polityka gospodarcza i społeczna</t>
  </si>
  <si>
    <t xml:space="preserve">84.1 Administracja publiczna oraz polityka gospodarcza i społeczna </t>
  </si>
  <si>
    <t>84.2</t>
  </si>
  <si>
    <t>Usługi na rzecz całego społeczeństwa</t>
  </si>
  <si>
    <t xml:space="preserve">84.2 Usługi na rzecz całego społeczeństwa </t>
  </si>
  <si>
    <t>84.3</t>
  </si>
  <si>
    <t>Obowiązkowe zabezpieczenia społeczne</t>
  </si>
  <si>
    <t xml:space="preserve">84.3 Obowiązkowe zabezpieczenia społeczne </t>
  </si>
  <si>
    <t>85.1</t>
  </si>
  <si>
    <t>Wychowanie przedszkolne</t>
  </si>
  <si>
    <t xml:space="preserve">85.1 Wychowanie przedszkolne </t>
  </si>
  <si>
    <t>85.2</t>
  </si>
  <si>
    <t>Szkoły podstawowe</t>
  </si>
  <si>
    <t xml:space="preserve">85.2 Szkoły podstawowe </t>
  </si>
  <si>
    <t>85.3</t>
  </si>
  <si>
    <t>Gimnazja i szkoły ponadgimnazjalne, z wyłączeniem szkół policealnych</t>
  </si>
  <si>
    <t xml:space="preserve">85.3 Gimnazja i szkoły ponadgimnazjalne, z wyłączeniem szkół policealnych </t>
  </si>
  <si>
    <t>85.4</t>
  </si>
  <si>
    <t>Szkoły policealne oraz wyższe</t>
  </si>
  <si>
    <t xml:space="preserve">85.4 Szkoły policealne oraz wyższe </t>
  </si>
  <si>
    <t>85.5</t>
  </si>
  <si>
    <t>Pozaszkolne formy edukacji</t>
  </si>
  <si>
    <t xml:space="preserve">85.5 Pozaszkolne formy edukacji </t>
  </si>
  <si>
    <t>85.6</t>
  </si>
  <si>
    <t>Działalność wspomagająca edukację</t>
  </si>
  <si>
    <t xml:space="preserve">85.6 Działalność wspomagająca edukację </t>
  </si>
  <si>
    <t>86.1</t>
  </si>
  <si>
    <t>Działalność szpitali</t>
  </si>
  <si>
    <t xml:space="preserve">86.1 Działalność szpitali </t>
  </si>
  <si>
    <t>86.2</t>
  </si>
  <si>
    <t>Praktyka lekarska</t>
  </si>
  <si>
    <t xml:space="preserve">86.2 Praktyka lekarska </t>
  </si>
  <si>
    <t>86.9</t>
  </si>
  <si>
    <t>Pozostała działalność w zakresie opieki zdrowotnej</t>
  </si>
  <si>
    <t xml:space="preserve">86.9 Pozostała działalność w zakresie opieki zdrowotnej </t>
  </si>
  <si>
    <t>87.1</t>
  </si>
  <si>
    <t>Pomoc społeczna z zakwaterowaniem zapewniająca opiekę pielęgniarską</t>
  </si>
  <si>
    <t xml:space="preserve">87.1 Pomoc społeczna z zakwaterowaniem zapewniająca opiekę pielęgniarską </t>
  </si>
  <si>
    <t>87.2</t>
  </si>
  <si>
    <t>Pomoc społeczna z zakwaterowaniem dla osób z zaburzeniami psychicznymi</t>
  </si>
  <si>
    <t xml:space="preserve">87.2 Pomoc społeczna z zakwaterowaniem dla osób z zaburzeniami psychicznymi </t>
  </si>
  <si>
    <t>87.3</t>
  </si>
  <si>
    <t>Pomoc społeczna z zakwaterowaniem dla osób w podeszłym wieku i osób niepełnosprawnych</t>
  </si>
  <si>
    <t xml:space="preserve">87.3 Pomoc społeczna z zakwaterowaniem dla osób w podeszłym wieku i osób niepełnosprawnych </t>
  </si>
  <si>
    <t>87.9</t>
  </si>
  <si>
    <t>Pozostała pomoc społeczna z zakwaterowaniem</t>
  </si>
  <si>
    <t xml:space="preserve">87.9 Pozostała pomoc społeczna z zakwaterowaniem </t>
  </si>
  <si>
    <t>88.1</t>
  </si>
  <si>
    <t>Pomoc społeczna bez zakwaterowania dla osób w podeszłym wieku i osób niepełnosprawnych</t>
  </si>
  <si>
    <t xml:space="preserve">88.1 Pomoc społeczna bez zakwaterowania dla osób w podeszłym wieku i osób niepełnosprawnych </t>
  </si>
  <si>
    <t>88.9</t>
  </si>
  <si>
    <t>Pozostała pomoc społeczna bez zakwaterowania</t>
  </si>
  <si>
    <t xml:space="preserve">88.9 Pozostała pomoc społeczna bez zakwaterowania </t>
  </si>
  <si>
    <t>90.0</t>
  </si>
  <si>
    <t>Działalność twórcza związana z kulturą i rozrywką</t>
  </si>
  <si>
    <t xml:space="preserve">90.0 Działalność twórcza związana z kulturą i rozrywką </t>
  </si>
  <si>
    <t>91.0</t>
  </si>
  <si>
    <t>Działalność bibliotek, archiwów, muzeów oraz pozostała działalność związana z kulturą</t>
  </si>
  <si>
    <t xml:space="preserve">91.0 Działalność bibliotek, archiwów, muzeów oraz pozostała działalność związana z kulturą </t>
  </si>
  <si>
    <t>92.0</t>
  </si>
  <si>
    <t>Działalność związana z grami losowymi i zakładami wzajemnymi</t>
  </si>
  <si>
    <t xml:space="preserve">92.0 Działalność związana z grami losowymi i zakładami wzajemnymi </t>
  </si>
  <si>
    <t>93.1</t>
  </si>
  <si>
    <t>Działalność związana ze sportem</t>
  </si>
  <si>
    <t xml:space="preserve">93.1 Działalność związana ze sportem </t>
  </si>
  <si>
    <t>93.2</t>
  </si>
  <si>
    <t>Działalność rozrywkowa i rekreacyjna</t>
  </si>
  <si>
    <t xml:space="preserve">93.2 Działalność rozrywkowa i rekreacyjna </t>
  </si>
  <si>
    <t>94.1</t>
  </si>
  <si>
    <t>Działalność organizacji komercyjnych, pracodawców oraz organizacji profesjonalnych</t>
  </si>
  <si>
    <t xml:space="preserve">94.1 Działalność organizacji komercyjnych, pracodawców oraz organizacji profesjonalnych </t>
  </si>
  <si>
    <t>94.2</t>
  </si>
  <si>
    <t>Działalność związków zawodowych</t>
  </si>
  <si>
    <t xml:space="preserve">94.2 Działalność związków zawodowych </t>
  </si>
  <si>
    <t>94.9</t>
  </si>
  <si>
    <t>Działalność pozostałych organizacji członkowskich</t>
  </si>
  <si>
    <t xml:space="preserve">94.9 Działalność pozostałych organizacji członkowskich </t>
  </si>
  <si>
    <t>95.1</t>
  </si>
  <si>
    <t>Naprawa i konserwacja komputerów i sprzętu komunikacyjnego</t>
  </si>
  <si>
    <t xml:space="preserve">95.1 Naprawa i konserwacja komputerów i sprzętu komunikacyjnego </t>
  </si>
  <si>
    <t>95.2</t>
  </si>
  <si>
    <t>Naprawa i konserwacja artykułów użytku osobistego i domowego</t>
  </si>
  <si>
    <t xml:space="preserve">95.2 Naprawa i konserwacja artykułów użytku osobistego i domowego </t>
  </si>
  <si>
    <t>96.0</t>
  </si>
  <si>
    <t>Pozostała indywidualna działalność usługowa</t>
  </si>
  <si>
    <t xml:space="preserve">96.0 Pozostała indywidualna działalność usługowa </t>
  </si>
  <si>
    <t>97.0</t>
  </si>
  <si>
    <t>Gospodarstwa domowe zatrudniające pracowników</t>
  </si>
  <si>
    <t xml:space="preserve">97.0 Gospodarstwa domowe zatrudniające pracowników </t>
  </si>
  <si>
    <t>98.1</t>
  </si>
  <si>
    <t>Gospodarstwa domowe produkujące wyroby na własne potrzeby</t>
  </si>
  <si>
    <t xml:space="preserve">98.1 Gospodarstwa domowe produkujące wyroby na własne potrzeby </t>
  </si>
  <si>
    <t>98.2</t>
  </si>
  <si>
    <t>Gospodarstwa domowe świadczące usługi na własne potrzeby</t>
  </si>
  <si>
    <t xml:space="preserve">98.2 Gospodarstwa domowe świadczące usługi na własne potrzeby </t>
  </si>
  <si>
    <t>99.0</t>
  </si>
  <si>
    <t>Organizacje i zespoły eksterytorialne</t>
  </si>
  <si>
    <t xml:space="preserve">99.0 Organizacje i zespoły eksterytorialne </t>
  </si>
  <si>
    <t>percentage in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</si>
</sst>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74"/>
  <sheetViews>
    <sheetView tabSelected="1" topLeftCell="L1" workbookViewId="0">
      <selection activeCell="AD12" sqref="AD12"/>
    </sheetView>
  </sheetViews>
  <sheetFormatPr baseColWidth="10" defaultColWidth="8.83203125" defaultRowHeight="15" x14ac:dyDescent="0.2"/>
  <cols>
    <col min="3" max="3" width="144.6640625" bestFit="1" customWidth="1"/>
    <col min="4" max="4" width="10.1640625" customWidth="1"/>
  </cols>
  <sheetData>
    <row r="1" spans="1:25" x14ac:dyDescent="0.2">
      <c r="A1" s="1" t="s">
        <v>0</v>
      </c>
      <c r="B1" s="1" t="s">
        <v>1</v>
      </c>
      <c r="C1" s="1" t="s">
        <v>2</v>
      </c>
      <c r="D1" s="1" t="s">
        <v>3</v>
      </c>
      <c r="E1" s="1">
        <v>2005</v>
      </c>
      <c r="F1" s="1">
        <v>2006</v>
      </c>
      <c r="G1" s="1">
        <v>2007</v>
      </c>
      <c r="H1" s="1">
        <v>2008</v>
      </c>
      <c r="I1" s="1">
        <v>2009</v>
      </c>
      <c r="J1" s="1">
        <v>2010</v>
      </c>
      <c r="K1" s="1">
        <v>2011</v>
      </c>
      <c r="L1" s="1">
        <v>2012</v>
      </c>
      <c r="M1" s="1">
        <v>2013</v>
      </c>
      <c r="N1" s="1">
        <v>2014</v>
      </c>
      <c r="O1" s="1">
        <v>2015</v>
      </c>
      <c r="P1" s="1">
        <v>2016</v>
      </c>
      <c r="Q1" s="1">
        <v>2017</v>
      </c>
      <c r="R1" s="1">
        <v>2018</v>
      </c>
      <c r="S1" s="1">
        <v>2019</v>
      </c>
      <c r="T1" s="1">
        <v>2020</v>
      </c>
      <c r="U1" s="1">
        <v>2021</v>
      </c>
      <c r="V1" s="1">
        <v>2022</v>
      </c>
      <c r="W1" s="1">
        <v>2023</v>
      </c>
      <c r="X1" s="1">
        <v>2024</v>
      </c>
      <c r="Y1" t="s">
        <v>822</v>
      </c>
    </row>
    <row r="2" spans="1:25" x14ac:dyDescent="0.2">
      <c r="A2" t="s">
        <v>24</v>
      </c>
      <c r="B2" t="s">
        <v>25</v>
      </c>
      <c r="C2" t="s">
        <v>26</v>
      </c>
      <c r="D2" t="s">
        <v>7</v>
      </c>
      <c r="E2" t="s">
        <v>11</v>
      </c>
      <c r="F2" t="s">
        <v>11</v>
      </c>
      <c r="G2" t="s">
        <v>11</v>
      </c>
      <c r="H2" t="s">
        <v>11</v>
      </c>
      <c r="I2" t="s">
        <v>11</v>
      </c>
      <c r="J2" t="s">
        <v>11</v>
      </c>
      <c r="K2" t="s">
        <v>11</v>
      </c>
      <c r="L2" t="s">
        <v>11</v>
      </c>
      <c r="M2" t="s">
        <v>11</v>
      </c>
      <c r="N2" t="s">
        <v>11</v>
      </c>
      <c r="O2" t="s">
        <v>11</v>
      </c>
      <c r="P2" t="s">
        <v>11</v>
      </c>
      <c r="Q2" t="s">
        <v>11</v>
      </c>
      <c r="R2" t="s">
        <v>11</v>
      </c>
      <c r="S2" t="s">
        <v>11</v>
      </c>
      <c r="T2" t="s">
        <v>11</v>
      </c>
      <c r="U2" t="s">
        <v>11</v>
      </c>
      <c r="V2" t="s">
        <v>11</v>
      </c>
      <c r="W2" t="s">
        <v>11</v>
      </c>
      <c r="X2" t="s">
        <v>11</v>
      </c>
      <c r="Y2" t="e">
        <f>X2/$X$274</f>
        <v>#VALUE!</v>
      </c>
    </row>
    <row r="3" spans="1:25" x14ac:dyDescent="0.2">
      <c r="A3" t="s">
        <v>33</v>
      </c>
      <c r="B3" t="s">
        <v>34</v>
      </c>
      <c r="C3" t="s">
        <v>35</v>
      </c>
      <c r="D3" t="s">
        <v>7</v>
      </c>
      <c r="E3" t="s">
        <v>11</v>
      </c>
      <c r="F3" t="s">
        <v>11</v>
      </c>
      <c r="G3" t="s">
        <v>11</v>
      </c>
      <c r="H3" t="s">
        <v>11</v>
      </c>
      <c r="I3" t="s">
        <v>11</v>
      </c>
      <c r="J3" t="s">
        <v>11</v>
      </c>
      <c r="K3" t="s">
        <v>11</v>
      </c>
      <c r="L3" t="s">
        <v>11</v>
      </c>
      <c r="M3" t="s">
        <v>11</v>
      </c>
      <c r="N3" t="s">
        <v>11</v>
      </c>
      <c r="O3" t="s">
        <v>11</v>
      </c>
      <c r="P3" t="s">
        <v>11</v>
      </c>
      <c r="Q3" t="s">
        <v>11</v>
      </c>
      <c r="R3" t="s">
        <v>11</v>
      </c>
      <c r="S3" t="s">
        <v>11</v>
      </c>
      <c r="T3" t="s">
        <v>11</v>
      </c>
      <c r="U3" t="s">
        <v>11</v>
      </c>
      <c r="V3" t="s">
        <v>11</v>
      </c>
      <c r="W3" t="s">
        <v>11</v>
      </c>
      <c r="X3" t="s">
        <v>11</v>
      </c>
      <c r="Y3" t="e">
        <f t="shared" ref="Y3:Y66" si="0">X3/$X$274</f>
        <v>#VALUE!</v>
      </c>
    </row>
    <row r="4" spans="1:25" x14ac:dyDescent="0.2">
      <c r="A4" t="s">
        <v>45</v>
      </c>
      <c r="B4" t="s">
        <v>46</v>
      </c>
      <c r="C4" t="s">
        <v>47</v>
      </c>
      <c r="D4" t="s">
        <v>7</v>
      </c>
      <c r="E4">
        <v>19408.5</v>
      </c>
      <c r="F4">
        <v>18759.79</v>
      </c>
      <c r="G4">
        <v>18030.43</v>
      </c>
      <c r="H4">
        <v>22964.36</v>
      </c>
      <c r="I4">
        <v>22604.560000000001</v>
      </c>
      <c r="J4" t="s">
        <v>11</v>
      </c>
      <c r="K4" t="s">
        <v>11</v>
      </c>
      <c r="L4" t="s">
        <v>11</v>
      </c>
      <c r="M4" t="s">
        <v>11</v>
      </c>
      <c r="N4" t="s">
        <v>11</v>
      </c>
      <c r="O4" t="s">
        <v>11</v>
      </c>
      <c r="P4" t="s">
        <v>11</v>
      </c>
      <c r="Q4" t="s">
        <v>11</v>
      </c>
      <c r="R4" t="s">
        <v>11</v>
      </c>
      <c r="S4" t="s">
        <v>11</v>
      </c>
      <c r="T4" t="s">
        <v>11</v>
      </c>
      <c r="U4" t="s">
        <v>11</v>
      </c>
      <c r="V4" t="s">
        <v>11</v>
      </c>
      <c r="W4" t="s">
        <v>11</v>
      </c>
      <c r="X4" t="s">
        <v>11</v>
      </c>
      <c r="Y4" t="e">
        <f t="shared" si="0"/>
        <v>#VALUE!</v>
      </c>
    </row>
    <row r="5" spans="1:25" x14ac:dyDescent="0.2">
      <c r="A5" t="s">
        <v>48</v>
      </c>
      <c r="B5" t="s">
        <v>49</v>
      </c>
      <c r="C5" t="s">
        <v>50</v>
      </c>
      <c r="D5" t="s">
        <v>7</v>
      </c>
      <c r="E5">
        <v>3160.37</v>
      </c>
      <c r="F5">
        <v>3171.27</v>
      </c>
      <c r="G5">
        <v>3204.12</v>
      </c>
      <c r="H5">
        <v>3414.2</v>
      </c>
      <c r="I5">
        <v>3581.25</v>
      </c>
      <c r="J5" t="s">
        <v>11</v>
      </c>
      <c r="K5" t="s">
        <v>11</v>
      </c>
      <c r="L5" t="s">
        <v>11</v>
      </c>
      <c r="M5" t="s">
        <v>11</v>
      </c>
      <c r="N5" t="s">
        <v>11</v>
      </c>
      <c r="O5" t="s">
        <v>11</v>
      </c>
      <c r="P5" t="s">
        <v>11</v>
      </c>
      <c r="Q5" t="s">
        <v>11</v>
      </c>
      <c r="R5" t="s">
        <v>11</v>
      </c>
      <c r="S5" t="s">
        <v>11</v>
      </c>
      <c r="T5" t="s">
        <v>11</v>
      </c>
      <c r="U5" t="s">
        <v>11</v>
      </c>
      <c r="V5" t="s">
        <v>11</v>
      </c>
      <c r="W5" t="s">
        <v>11</v>
      </c>
      <c r="X5" t="s">
        <v>11</v>
      </c>
      <c r="Y5" t="e">
        <f t="shared" si="0"/>
        <v>#VALUE!</v>
      </c>
    </row>
    <row r="6" spans="1:25" x14ac:dyDescent="0.2">
      <c r="A6" t="s">
        <v>51</v>
      </c>
      <c r="B6" t="s">
        <v>52</v>
      </c>
      <c r="C6" t="s">
        <v>53</v>
      </c>
      <c r="D6" t="s">
        <v>7</v>
      </c>
      <c r="E6" t="s">
        <v>11</v>
      </c>
      <c r="F6" t="s">
        <v>11</v>
      </c>
      <c r="G6" t="s">
        <v>11</v>
      </c>
      <c r="H6" t="s">
        <v>11</v>
      </c>
      <c r="I6" t="s">
        <v>11</v>
      </c>
      <c r="J6" t="s">
        <v>11</v>
      </c>
      <c r="K6" t="s">
        <v>11</v>
      </c>
      <c r="L6" t="s">
        <v>11</v>
      </c>
      <c r="M6" t="s">
        <v>11</v>
      </c>
      <c r="N6" t="s">
        <v>11</v>
      </c>
      <c r="O6" t="s">
        <v>11</v>
      </c>
      <c r="P6" t="s">
        <v>11</v>
      </c>
      <c r="Q6" t="s">
        <v>11</v>
      </c>
      <c r="R6" t="s">
        <v>11</v>
      </c>
      <c r="S6" t="s">
        <v>11</v>
      </c>
      <c r="T6" t="s">
        <v>11</v>
      </c>
      <c r="U6" t="s">
        <v>11</v>
      </c>
      <c r="V6" t="s">
        <v>11</v>
      </c>
      <c r="W6" t="s">
        <v>11</v>
      </c>
      <c r="X6" t="s">
        <v>11</v>
      </c>
      <c r="Y6" t="e">
        <f t="shared" si="0"/>
        <v>#VALUE!</v>
      </c>
    </row>
    <row r="7" spans="1:25" x14ac:dyDescent="0.2">
      <c r="A7" t="s">
        <v>54</v>
      </c>
      <c r="B7" t="s">
        <v>55</v>
      </c>
      <c r="C7" t="s">
        <v>56</v>
      </c>
      <c r="D7" t="s">
        <v>7</v>
      </c>
      <c r="E7" t="s">
        <v>11</v>
      </c>
      <c r="F7" t="s">
        <v>11</v>
      </c>
      <c r="G7" t="s">
        <v>11</v>
      </c>
      <c r="H7" t="s">
        <v>11</v>
      </c>
      <c r="I7" t="s">
        <v>11</v>
      </c>
      <c r="J7" t="s">
        <v>11</v>
      </c>
      <c r="K7" t="s">
        <v>11</v>
      </c>
      <c r="L7" t="s">
        <v>11</v>
      </c>
      <c r="M7" t="s">
        <v>11</v>
      </c>
      <c r="N7" t="s">
        <v>11</v>
      </c>
      <c r="O7" t="s">
        <v>11</v>
      </c>
      <c r="P7" t="s">
        <v>11</v>
      </c>
      <c r="Q7" t="s">
        <v>11</v>
      </c>
      <c r="R7" t="s">
        <v>11</v>
      </c>
      <c r="S7" t="s">
        <v>11</v>
      </c>
      <c r="T7" t="s">
        <v>11</v>
      </c>
      <c r="U7" t="s">
        <v>11</v>
      </c>
      <c r="V7" t="s">
        <v>11</v>
      </c>
      <c r="W7" t="s">
        <v>11</v>
      </c>
      <c r="X7" t="s">
        <v>11</v>
      </c>
      <c r="Y7" t="e">
        <f t="shared" si="0"/>
        <v>#VALUE!</v>
      </c>
    </row>
    <row r="8" spans="1:25" x14ac:dyDescent="0.2">
      <c r="A8" t="s">
        <v>57</v>
      </c>
      <c r="B8" t="s">
        <v>58</v>
      </c>
      <c r="C8" t="s">
        <v>59</v>
      </c>
      <c r="D8" t="s">
        <v>7</v>
      </c>
      <c r="E8" t="s">
        <v>11</v>
      </c>
      <c r="F8" t="s">
        <v>11</v>
      </c>
      <c r="G8" t="s">
        <v>11</v>
      </c>
      <c r="H8" t="s">
        <v>11</v>
      </c>
      <c r="I8" t="s">
        <v>11</v>
      </c>
      <c r="J8" t="s">
        <v>11</v>
      </c>
      <c r="K8" t="s">
        <v>11</v>
      </c>
      <c r="L8" t="s">
        <v>11</v>
      </c>
      <c r="M8" t="s">
        <v>11</v>
      </c>
      <c r="N8" t="s">
        <v>11</v>
      </c>
      <c r="O8" t="s">
        <v>11</v>
      </c>
      <c r="P8" t="s">
        <v>11</v>
      </c>
      <c r="Q8" t="s">
        <v>11</v>
      </c>
      <c r="R8" t="s">
        <v>11</v>
      </c>
      <c r="S8" t="s">
        <v>11</v>
      </c>
      <c r="T8" t="s">
        <v>11</v>
      </c>
      <c r="U8" t="s">
        <v>11</v>
      </c>
      <c r="V8" t="s">
        <v>11</v>
      </c>
      <c r="W8" t="s">
        <v>11</v>
      </c>
      <c r="X8" t="s">
        <v>11</v>
      </c>
      <c r="Y8" t="e">
        <f t="shared" si="0"/>
        <v>#VALUE!</v>
      </c>
    </row>
    <row r="9" spans="1:25" x14ac:dyDescent="0.2">
      <c r="A9" t="s">
        <v>60</v>
      </c>
      <c r="B9" t="s">
        <v>61</v>
      </c>
      <c r="C9" t="s">
        <v>62</v>
      </c>
      <c r="D9" t="s">
        <v>7</v>
      </c>
      <c r="E9" t="s">
        <v>11</v>
      </c>
      <c r="F9" t="s">
        <v>11</v>
      </c>
      <c r="G9" t="s">
        <v>11</v>
      </c>
      <c r="H9" t="s">
        <v>11</v>
      </c>
      <c r="I9" t="s">
        <v>11</v>
      </c>
      <c r="J9" t="s">
        <v>11</v>
      </c>
      <c r="K9" t="s">
        <v>11</v>
      </c>
      <c r="L9" t="s">
        <v>11</v>
      </c>
      <c r="M9" t="s">
        <v>11</v>
      </c>
      <c r="N9" t="s">
        <v>11</v>
      </c>
      <c r="O9" t="s">
        <v>11</v>
      </c>
      <c r="P9" t="s">
        <v>11</v>
      </c>
      <c r="Q9" t="s">
        <v>11</v>
      </c>
      <c r="R9" t="s">
        <v>11</v>
      </c>
      <c r="S9" t="s">
        <v>11</v>
      </c>
      <c r="T9" t="s">
        <v>11</v>
      </c>
      <c r="U9" t="s">
        <v>11</v>
      </c>
      <c r="V9" t="s">
        <v>11</v>
      </c>
      <c r="W9" t="s">
        <v>11</v>
      </c>
      <c r="X9" t="s">
        <v>11</v>
      </c>
      <c r="Y9" t="e">
        <f t="shared" si="0"/>
        <v>#VALUE!</v>
      </c>
    </row>
    <row r="10" spans="1:25" x14ac:dyDescent="0.2">
      <c r="A10" t="s">
        <v>123</v>
      </c>
      <c r="B10" t="s">
        <v>124</v>
      </c>
      <c r="C10" t="s">
        <v>125</v>
      </c>
      <c r="D10" t="s">
        <v>7</v>
      </c>
      <c r="E10" t="s">
        <v>11</v>
      </c>
      <c r="F10" t="s">
        <v>11</v>
      </c>
      <c r="G10" t="s">
        <v>11</v>
      </c>
      <c r="H10" t="s">
        <v>11</v>
      </c>
      <c r="I10" t="s">
        <v>11</v>
      </c>
      <c r="J10" t="s">
        <v>11</v>
      </c>
      <c r="K10" t="s">
        <v>11</v>
      </c>
      <c r="L10" t="s">
        <v>11</v>
      </c>
      <c r="M10" t="s">
        <v>11</v>
      </c>
      <c r="N10" t="s">
        <v>11</v>
      </c>
      <c r="O10" t="s">
        <v>11</v>
      </c>
      <c r="P10" t="s">
        <v>11</v>
      </c>
      <c r="Q10" t="s">
        <v>11</v>
      </c>
      <c r="R10" t="s">
        <v>11</v>
      </c>
      <c r="S10" t="s">
        <v>11</v>
      </c>
      <c r="T10" t="s">
        <v>11</v>
      </c>
      <c r="U10" t="s">
        <v>11</v>
      </c>
      <c r="V10" t="s">
        <v>11</v>
      </c>
      <c r="W10" t="s">
        <v>11</v>
      </c>
      <c r="X10" t="s">
        <v>11</v>
      </c>
      <c r="Y10" t="e">
        <f t="shared" si="0"/>
        <v>#VALUE!</v>
      </c>
    </row>
    <row r="11" spans="1:25" x14ac:dyDescent="0.2">
      <c r="A11" t="s">
        <v>126</v>
      </c>
      <c r="B11" t="s">
        <v>127</v>
      </c>
      <c r="C11" t="s">
        <v>128</v>
      </c>
      <c r="D11" t="s">
        <v>7</v>
      </c>
      <c r="E11" t="s">
        <v>11</v>
      </c>
      <c r="F11" t="s">
        <v>11</v>
      </c>
      <c r="G11" t="s">
        <v>11</v>
      </c>
      <c r="H11" t="s">
        <v>11</v>
      </c>
      <c r="I11" t="s">
        <v>11</v>
      </c>
      <c r="J11" t="s">
        <v>11</v>
      </c>
      <c r="K11" t="s">
        <v>11</v>
      </c>
      <c r="L11" t="s">
        <v>11</v>
      </c>
      <c r="M11" t="s">
        <v>11</v>
      </c>
      <c r="N11" t="s">
        <v>11</v>
      </c>
      <c r="O11" t="s">
        <v>11</v>
      </c>
      <c r="P11" t="s">
        <v>11</v>
      </c>
      <c r="Q11" t="s">
        <v>11</v>
      </c>
      <c r="R11" t="s">
        <v>11</v>
      </c>
      <c r="S11" t="s">
        <v>11</v>
      </c>
      <c r="T11" t="s">
        <v>11</v>
      </c>
      <c r="U11" t="s">
        <v>11</v>
      </c>
      <c r="V11" t="s">
        <v>11</v>
      </c>
      <c r="W11" t="s">
        <v>11</v>
      </c>
      <c r="X11" t="s">
        <v>11</v>
      </c>
      <c r="Y11" t="e">
        <f t="shared" si="0"/>
        <v>#VALUE!</v>
      </c>
    </row>
    <row r="12" spans="1:25" x14ac:dyDescent="0.2">
      <c r="A12" t="s">
        <v>129</v>
      </c>
      <c r="B12" t="s">
        <v>130</v>
      </c>
      <c r="C12" t="s">
        <v>131</v>
      </c>
      <c r="D12" t="s">
        <v>7</v>
      </c>
      <c r="E12">
        <v>498.11</v>
      </c>
      <c r="F12">
        <v>604.98</v>
      </c>
      <c r="G12">
        <v>1069.01</v>
      </c>
      <c r="H12">
        <v>767.6</v>
      </c>
      <c r="I12">
        <v>674.19</v>
      </c>
      <c r="J12">
        <v>810.94</v>
      </c>
      <c r="K12">
        <v>1177.4100000000001</v>
      </c>
      <c r="L12">
        <v>1234.08</v>
      </c>
      <c r="M12">
        <v>1311.79</v>
      </c>
      <c r="N12">
        <v>1498.48</v>
      </c>
      <c r="O12">
        <v>1671.23</v>
      </c>
      <c r="P12">
        <v>1837.55</v>
      </c>
      <c r="Q12">
        <v>1796.61</v>
      </c>
      <c r="R12">
        <v>1736.95</v>
      </c>
      <c r="S12">
        <v>1620.69</v>
      </c>
      <c r="T12">
        <v>1466.14</v>
      </c>
      <c r="U12">
        <v>1781.48</v>
      </c>
      <c r="V12">
        <v>1893.62</v>
      </c>
      <c r="W12" t="s">
        <v>11</v>
      </c>
      <c r="X12" t="s">
        <v>11</v>
      </c>
      <c r="Y12" t="e">
        <f t="shared" si="0"/>
        <v>#VALUE!</v>
      </c>
    </row>
    <row r="13" spans="1:25" x14ac:dyDescent="0.2">
      <c r="A13" t="s">
        <v>147</v>
      </c>
      <c r="B13" t="s">
        <v>148</v>
      </c>
      <c r="C13" t="s">
        <v>149</v>
      </c>
      <c r="D13" t="s">
        <v>7</v>
      </c>
      <c r="E13">
        <v>4929.24</v>
      </c>
      <c r="F13" t="s">
        <v>11</v>
      </c>
      <c r="G13" t="s">
        <v>11</v>
      </c>
      <c r="H13">
        <v>6037.23</v>
      </c>
      <c r="I13">
        <v>6291.67</v>
      </c>
      <c r="J13">
        <v>7155.06</v>
      </c>
      <c r="K13">
        <v>7704.95</v>
      </c>
      <c r="L13">
        <v>8083.74</v>
      </c>
      <c r="M13">
        <v>8606.7000000000007</v>
      </c>
      <c r="N13">
        <v>9782.91</v>
      </c>
      <c r="O13">
        <v>10017.790000000001</v>
      </c>
      <c r="P13">
        <v>10547.97</v>
      </c>
      <c r="Q13">
        <v>10699.71</v>
      </c>
      <c r="R13">
        <v>11194.99</v>
      </c>
      <c r="S13">
        <v>11181.6</v>
      </c>
      <c r="T13">
        <v>10466.98</v>
      </c>
      <c r="U13">
        <v>11789.68</v>
      </c>
      <c r="V13">
        <v>14406.48</v>
      </c>
      <c r="W13" t="s">
        <v>11</v>
      </c>
      <c r="X13" t="s">
        <v>11</v>
      </c>
      <c r="Y13" t="e">
        <f t="shared" si="0"/>
        <v>#VALUE!</v>
      </c>
    </row>
    <row r="14" spans="1:25" x14ac:dyDescent="0.2">
      <c r="A14" t="s">
        <v>150</v>
      </c>
      <c r="B14" t="s">
        <v>151</v>
      </c>
      <c r="C14" t="s">
        <v>152</v>
      </c>
      <c r="D14" t="s">
        <v>7</v>
      </c>
      <c r="E14">
        <v>23.23</v>
      </c>
      <c r="F14" t="s">
        <v>11</v>
      </c>
      <c r="G14" t="s">
        <v>11</v>
      </c>
      <c r="H14">
        <v>134.34</v>
      </c>
      <c r="I14">
        <v>192.78</v>
      </c>
      <c r="J14">
        <v>158.06</v>
      </c>
      <c r="K14">
        <v>360.25</v>
      </c>
      <c r="L14">
        <v>417.58</v>
      </c>
      <c r="M14">
        <v>469.65</v>
      </c>
      <c r="N14">
        <v>439.45</v>
      </c>
      <c r="O14">
        <v>623.97</v>
      </c>
      <c r="P14">
        <v>607.57000000000005</v>
      </c>
      <c r="Q14">
        <v>646.95000000000005</v>
      </c>
      <c r="R14">
        <v>763.41</v>
      </c>
      <c r="S14">
        <v>807.75</v>
      </c>
      <c r="T14">
        <v>583.86</v>
      </c>
      <c r="U14">
        <v>807.83</v>
      </c>
      <c r="V14">
        <v>994.03</v>
      </c>
      <c r="W14" t="s">
        <v>11</v>
      </c>
      <c r="X14" t="s">
        <v>11</v>
      </c>
      <c r="Y14" t="e">
        <f t="shared" si="0"/>
        <v>#VALUE!</v>
      </c>
    </row>
    <row r="15" spans="1:25" x14ac:dyDescent="0.2">
      <c r="A15" t="s">
        <v>156</v>
      </c>
      <c r="B15" t="s">
        <v>157</v>
      </c>
      <c r="C15" t="s">
        <v>158</v>
      </c>
      <c r="D15" t="s">
        <v>7</v>
      </c>
      <c r="E15">
        <v>52619.23</v>
      </c>
      <c r="F15" t="s">
        <v>11</v>
      </c>
      <c r="G15" t="s">
        <v>11</v>
      </c>
      <c r="H15" t="s">
        <v>11</v>
      </c>
      <c r="I15">
        <v>91814.45</v>
      </c>
      <c r="J15">
        <v>114954.75</v>
      </c>
      <c r="K15">
        <v>147554.42000000001</v>
      </c>
      <c r="L15">
        <v>163829.84</v>
      </c>
      <c r="M15">
        <v>152095.14000000001</v>
      </c>
      <c r="N15">
        <v>139786.54999999999</v>
      </c>
      <c r="O15">
        <v>114855.97</v>
      </c>
      <c r="P15">
        <v>106233.83</v>
      </c>
      <c r="Q15">
        <v>130732.62</v>
      </c>
      <c r="R15">
        <v>161028.82</v>
      </c>
      <c r="S15">
        <v>163785.01</v>
      </c>
      <c r="T15">
        <v>117211.36</v>
      </c>
      <c r="U15">
        <v>170041.63</v>
      </c>
      <c r="V15" t="s">
        <v>11</v>
      </c>
      <c r="W15" t="s">
        <v>11</v>
      </c>
      <c r="X15" t="s">
        <v>11</v>
      </c>
      <c r="Y15" t="e">
        <f t="shared" si="0"/>
        <v>#VALUE!</v>
      </c>
    </row>
    <row r="16" spans="1:25" x14ac:dyDescent="0.2">
      <c r="A16" t="s">
        <v>162</v>
      </c>
      <c r="B16" t="s">
        <v>163</v>
      </c>
      <c r="C16" t="s">
        <v>164</v>
      </c>
      <c r="D16" t="s">
        <v>7</v>
      </c>
      <c r="E16" t="s">
        <v>11</v>
      </c>
      <c r="F16" t="s">
        <v>11</v>
      </c>
      <c r="G16">
        <v>321.86</v>
      </c>
      <c r="H16">
        <v>371.06</v>
      </c>
      <c r="I16">
        <v>315.62</v>
      </c>
      <c r="J16">
        <v>353.23</v>
      </c>
      <c r="K16">
        <v>478.09</v>
      </c>
      <c r="L16">
        <v>571.66</v>
      </c>
      <c r="M16">
        <v>703.69</v>
      </c>
      <c r="N16">
        <v>495.81</v>
      </c>
      <c r="O16" t="s">
        <v>11</v>
      </c>
      <c r="P16" t="s">
        <v>11</v>
      </c>
      <c r="Q16">
        <v>642.14</v>
      </c>
      <c r="R16" t="s">
        <v>11</v>
      </c>
      <c r="S16" t="s">
        <v>11</v>
      </c>
      <c r="T16" t="s">
        <v>11</v>
      </c>
      <c r="U16" t="s">
        <v>11</v>
      </c>
      <c r="V16" t="s">
        <v>11</v>
      </c>
      <c r="W16" t="s">
        <v>11</v>
      </c>
      <c r="X16" t="s">
        <v>11</v>
      </c>
      <c r="Y16" t="e">
        <f t="shared" si="0"/>
        <v>#VALUE!</v>
      </c>
    </row>
    <row r="17" spans="1:25" x14ac:dyDescent="0.2">
      <c r="A17" t="s">
        <v>174</v>
      </c>
      <c r="B17" t="s">
        <v>175</v>
      </c>
      <c r="C17" t="s">
        <v>176</v>
      </c>
      <c r="D17" t="s">
        <v>7</v>
      </c>
      <c r="E17" t="s">
        <v>11</v>
      </c>
      <c r="F17" t="s">
        <v>11</v>
      </c>
      <c r="G17">
        <v>359.44</v>
      </c>
      <c r="H17">
        <v>251.13</v>
      </c>
      <c r="I17">
        <v>196.74</v>
      </c>
      <c r="J17">
        <v>328.2</v>
      </c>
      <c r="K17">
        <v>392.54</v>
      </c>
      <c r="L17">
        <v>351.67</v>
      </c>
      <c r="M17">
        <v>391.72</v>
      </c>
      <c r="N17">
        <v>360.14</v>
      </c>
      <c r="O17" t="s">
        <v>11</v>
      </c>
      <c r="P17" t="s">
        <v>11</v>
      </c>
      <c r="Q17">
        <v>469.85</v>
      </c>
      <c r="R17" t="s">
        <v>11</v>
      </c>
      <c r="S17" t="s">
        <v>11</v>
      </c>
      <c r="T17" t="s">
        <v>11</v>
      </c>
      <c r="U17" t="s">
        <v>11</v>
      </c>
      <c r="V17" t="s">
        <v>11</v>
      </c>
      <c r="W17" t="s">
        <v>11</v>
      </c>
      <c r="X17" t="s">
        <v>11</v>
      </c>
      <c r="Y17" t="e">
        <f t="shared" si="0"/>
        <v>#VALUE!</v>
      </c>
    </row>
    <row r="18" spans="1:25" x14ac:dyDescent="0.2">
      <c r="A18" t="s">
        <v>270</v>
      </c>
      <c r="B18" t="s">
        <v>271</v>
      </c>
      <c r="C18" t="s">
        <v>272</v>
      </c>
      <c r="D18" t="s">
        <v>7</v>
      </c>
      <c r="E18" t="s">
        <v>11</v>
      </c>
      <c r="F18" t="s">
        <v>11</v>
      </c>
      <c r="G18" t="s">
        <v>11</v>
      </c>
      <c r="H18">
        <v>233.7</v>
      </c>
      <c r="I18">
        <v>287.24</v>
      </c>
      <c r="J18">
        <v>78.09</v>
      </c>
      <c r="K18" t="s">
        <v>11</v>
      </c>
      <c r="L18">
        <v>77.87</v>
      </c>
      <c r="M18">
        <v>88.96</v>
      </c>
      <c r="N18">
        <v>105.32</v>
      </c>
      <c r="O18">
        <v>113.59</v>
      </c>
      <c r="P18">
        <v>122.34</v>
      </c>
      <c r="Q18">
        <v>142.16</v>
      </c>
      <c r="R18">
        <v>189.31</v>
      </c>
      <c r="S18">
        <v>189.97</v>
      </c>
      <c r="T18">
        <v>188.88</v>
      </c>
      <c r="U18">
        <v>213.88</v>
      </c>
      <c r="V18" t="s">
        <v>11</v>
      </c>
      <c r="W18" t="s">
        <v>11</v>
      </c>
      <c r="X18" t="s">
        <v>11</v>
      </c>
      <c r="Y18" t="e">
        <f t="shared" si="0"/>
        <v>#VALUE!</v>
      </c>
    </row>
    <row r="19" spans="1:25" x14ac:dyDescent="0.2">
      <c r="A19" t="s">
        <v>273</v>
      </c>
      <c r="B19" t="s">
        <v>274</v>
      </c>
      <c r="C19" t="s">
        <v>275</v>
      </c>
      <c r="D19" t="s">
        <v>7</v>
      </c>
      <c r="E19" t="s">
        <v>11</v>
      </c>
      <c r="F19" t="s">
        <v>11</v>
      </c>
      <c r="G19" t="s">
        <v>11</v>
      </c>
      <c r="H19" t="s">
        <v>11</v>
      </c>
      <c r="I19" t="s">
        <v>11</v>
      </c>
      <c r="J19" t="s">
        <v>11</v>
      </c>
      <c r="K19" t="s">
        <v>11</v>
      </c>
      <c r="L19">
        <v>18.62</v>
      </c>
      <c r="M19" t="s">
        <v>11</v>
      </c>
      <c r="N19">
        <v>9.9700000000000006</v>
      </c>
      <c r="O19" t="s">
        <v>11</v>
      </c>
      <c r="P19" t="s">
        <v>11</v>
      </c>
      <c r="Q19" t="s">
        <v>11</v>
      </c>
      <c r="R19" t="s">
        <v>11</v>
      </c>
      <c r="S19" t="s">
        <v>11</v>
      </c>
      <c r="T19" t="s">
        <v>11</v>
      </c>
      <c r="U19" t="s">
        <v>11</v>
      </c>
      <c r="V19" t="s">
        <v>11</v>
      </c>
      <c r="W19" t="s">
        <v>11</v>
      </c>
      <c r="X19" t="s">
        <v>11</v>
      </c>
      <c r="Y19" t="e">
        <f t="shared" si="0"/>
        <v>#VALUE!</v>
      </c>
    </row>
    <row r="20" spans="1:25" x14ac:dyDescent="0.2">
      <c r="A20" t="s">
        <v>279</v>
      </c>
      <c r="B20" t="s">
        <v>280</v>
      </c>
      <c r="C20" t="s">
        <v>281</v>
      </c>
      <c r="D20" t="s">
        <v>7</v>
      </c>
      <c r="E20">
        <v>1009.27</v>
      </c>
      <c r="F20">
        <v>1170.79</v>
      </c>
      <c r="G20">
        <v>1435.5</v>
      </c>
      <c r="H20" t="s">
        <v>11</v>
      </c>
      <c r="I20" t="s">
        <v>11</v>
      </c>
      <c r="J20">
        <v>1555.36</v>
      </c>
      <c r="K20">
        <v>1790.11</v>
      </c>
      <c r="L20">
        <v>1968.25</v>
      </c>
      <c r="M20">
        <v>2407.9</v>
      </c>
      <c r="N20">
        <v>2610.46</v>
      </c>
      <c r="O20">
        <v>3116.12</v>
      </c>
      <c r="P20">
        <v>3632.92</v>
      </c>
      <c r="Q20">
        <v>3968.07</v>
      </c>
      <c r="R20">
        <v>4351.8599999999997</v>
      </c>
      <c r="S20">
        <v>12229.73</v>
      </c>
      <c r="T20" t="s">
        <v>11</v>
      </c>
      <c r="U20" t="s">
        <v>11</v>
      </c>
      <c r="V20" t="s">
        <v>11</v>
      </c>
      <c r="W20" t="s">
        <v>11</v>
      </c>
      <c r="X20" t="s">
        <v>11</v>
      </c>
      <c r="Y20" t="e">
        <f t="shared" si="0"/>
        <v>#VALUE!</v>
      </c>
    </row>
    <row r="21" spans="1:25" x14ac:dyDescent="0.2">
      <c r="A21" t="s">
        <v>291</v>
      </c>
      <c r="B21" t="s">
        <v>292</v>
      </c>
      <c r="C21" t="s">
        <v>293</v>
      </c>
      <c r="D21" t="s">
        <v>7</v>
      </c>
      <c r="E21">
        <v>2051.5700000000002</v>
      </c>
      <c r="F21">
        <v>2159.1</v>
      </c>
      <c r="G21">
        <v>2699.18</v>
      </c>
      <c r="H21">
        <v>2973.81</v>
      </c>
      <c r="I21">
        <v>2555.3200000000002</v>
      </c>
      <c r="J21">
        <v>3130.09</v>
      </c>
      <c r="K21">
        <v>3527.53</v>
      </c>
      <c r="L21">
        <v>3511.36</v>
      </c>
      <c r="M21">
        <v>3500.61</v>
      </c>
      <c r="N21">
        <v>3868.49</v>
      </c>
      <c r="O21">
        <v>4064.65</v>
      </c>
      <c r="P21">
        <v>3496.05</v>
      </c>
      <c r="Q21">
        <v>3916.49</v>
      </c>
      <c r="R21">
        <v>4795.41</v>
      </c>
      <c r="S21">
        <v>5276.31</v>
      </c>
      <c r="T21" t="s">
        <v>11</v>
      </c>
      <c r="U21" t="s">
        <v>11</v>
      </c>
      <c r="V21" t="s">
        <v>11</v>
      </c>
      <c r="W21" t="s">
        <v>11</v>
      </c>
      <c r="X21" t="s">
        <v>11</v>
      </c>
      <c r="Y21" t="e">
        <f t="shared" si="0"/>
        <v>#VALUE!</v>
      </c>
    </row>
    <row r="22" spans="1:25" x14ac:dyDescent="0.2">
      <c r="A22" t="s">
        <v>309</v>
      </c>
      <c r="B22" t="s">
        <v>310</v>
      </c>
      <c r="C22" t="s">
        <v>311</v>
      </c>
      <c r="D22" t="s">
        <v>7</v>
      </c>
      <c r="E22">
        <v>37588.879999999997</v>
      </c>
      <c r="F22">
        <v>42568.91</v>
      </c>
      <c r="G22">
        <v>46566.57</v>
      </c>
      <c r="H22">
        <v>48926.37</v>
      </c>
      <c r="I22">
        <v>47762.45</v>
      </c>
      <c r="J22">
        <v>49247.62</v>
      </c>
      <c r="K22">
        <v>56200.14</v>
      </c>
      <c r="L22">
        <v>48766.720000000001</v>
      </c>
      <c r="M22">
        <v>51389.13</v>
      </c>
      <c r="N22">
        <v>51003.19</v>
      </c>
      <c r="O22">
        <v>55291.78</v>
      </c>
      <c r="P22">
        <v>62365.15</v>
      </c>
      <c r="Q22">
        <v>64016.39</v>
      </c>
      <c r="R22">
        <v>62974.29</v>
      </c>
      <c r="S22">
        <v>65558.38</v>
      </c>
      <c r="T22">
        <v>57933.46</v>
      </c>
      <c r="U22">
        <v>62625.08</v>
      </c>
      <c r="V22">
        <v>76515.600000000006</v>
      </c>
      <c r="W22">
        <v>97091.87</v>
      </c>
      <c r="X22" t="s">
        <v>11</v>
      </c>
      <c r="Y22" t="e">
        <f t="shared" si="0"/>
        <v>#VALUE!</v>
      </c>
    </row>
    <row r="23" spans="1:25" x14ac:dyDescent="0.2">
      <c r="A23" t="s">
        <v>312</v>
      </c>
      <c r="B23" t="s">
        <v>313</v>
      </c>
      <c r="C23" t="s">
        <v>314</v>
      </c>
      <c r="D23" t="s">
        <v>7</v>
      </c>
      <c r="E23">
        <v>1462.54</v>
      </c>
      <c r="F23">
        <v>2076.09</v>
      </c>
      <c r="G23">
        <v>2930.1</v>
      </c>
      <c r="H23">
        <v>2974.23</v>
      </c>
      <c r="I23">
        <v>1954.29</v>
      </c>
      <c r="J23">
        <v>2252.2199999999998</v>
      </c>
      <c r="K23">
        <v>2779.47</v>
      </c>
      <c r="L23">
        <v>2983.44</v>
      </c>
      <c r="M23">
        <v>3119.08</v>
      </c>
      <c r="N23">
        <v>3409.45</v>
      </c>
      <c r="O23">
        <v>3908.53</v>
      </c>
      <c r="P23">
        <v>5080.8900000000003</v>
      </c>
      <c r="Q23">
        <v>5909.53</v>
      </c>
      <c r="R23">
        <v>6670.96</v>
      </c>
      <c r="S23">
        <v>6343.81</v>
      </c>
      <c r="T23">
        <v>5684.57</v>
      </c>
      <c r="U23">
        <v>7449.66</v>
      </c>
      <c r="V23">
        <v>9272.98</v>
      </c>
      <c r="W23">
        <v>9929.31</v>
      </c>
      <c r="X23" t="s">
        <v>11</v>
      </c>
      <c r="Y23" t="e">
        <f t="shared" si="0"/>
        <v>#VALUE!</v>
      </c>
    </row>
    <row r="24" spans="1:25" x14ac:dyDescent="0.2">
      <c r="A24" t="s">
        <v>492</v>
      </c>
      <c r="B24" t="s">
        <v>493</v>
      </c>
      <c r="C24" t="s">
        <v>494</v>
      </c>
      <c r="D24" t="s">
        <v>7</v>
      </c>
      <c r="E24" t="s">
        <v>11</v>
      </c>
      <c r="F24" t="s">
        <v>11</v>
      </c>
      <c r="G24" t="s">
        <v>11</v>
      </c>
      <c r="H24" t="s">
        <v>11</v>
      </c>
      <c r="I24" t="s">
        <v>11</v>
      </c>
      <c r="J24" t="s">
        <v>11</v>
      </c>
      <c r="K24" t="s">
        <v>11</v>
      </c>
      <c r="L24" t="s">
        <v>11</v>
      </c>
      <c r="M24" t="s">
        <v>11</v>
      </c>
      <c r="N24" t="s">
        <v>11</v>
      </c>
      <c r="O24" t="s">
        <v>11</v>
      </c>
      <c r="P24" t="s">
        <v>11</v>
      </c>
      <c r="Q24" t="s">
        <v>11</v>
      </c>
      <c r="R24" t="s">
        <v>11</v>
      </c>
      <c r="S24" t="s">
        <v>11</v>
      </c>
      <c r="T24" t="s">
        <v>11</v>
      </c>
      <c r="U24" t="s">
        <v>11</v>
      </c>
      <c r="V24" t="s">
        <v>11</v>
      </c>
      <c r="W24" t="s">
        <v>11</v>
      </c>
      <c r="X24" t="s">
        <v>11</v>
      </c>
      <c r="Y24" t="e">
        <f t="shared" si="0"/>
        <v>#VALUE!</v>
      </c>
    </row>
    <row r="25" spans="1:25" x14ac:dyDescent="0.2">
      <c r="A25" t="s">
        <v>498</v>
      </c>
      <c r="B25" t="s">
        <v>499</v>
      </c>
      <c r="C25" t="s">
        <v>500</v>
      </c>
      <c r="D25" t="s">
        <v>7</v>
      </c>
      <c r="E25" t="s">
        <v>11</v>
      </c>
      <c r="F25" t="s">
        <v>11</v>
      </c>
      <c r="G25" t="s">
        <v>11</v>
      </c>
      <c r="H25" t="s">
        <v>11</v>
      </c>
      <c r="I25" t="s">
        <v>11</v>
      </c>
      <c r="J25" t="s">
        <v>11</v>
      </c>
      <c r="K25" t="s">
        <v>11</v>
      </c>
      <c r="L25" t="s">
        <v>11</v>
      </c>
      <c r="M25">
        <v>17.239999999999998</v>
      </c>
      <c r="N25">
        <v>19.690000000000001</v>
      </c>
      <c r="O25" t="s">
        <v>11</v>
      </c>
      <c r="P25">
        <v>10.48</v>
      </c>
      <c r="Q25" t="s">
        <v>11</v>
      </c>
      <c r="R25" t="s">
        <v>11</v>
      </c>
      <c r="S25" t="s">
        <v>11</v>
      </c>
      <c r="T25" t="s">
        <v>11</v>
      </c>
      <c r="U25" t="s">
        <v>11</v>
      </c>
      <c r="V25" t="s">
        <v>11</v>
      </c>
      <c r="W25" t="s">
        <v>11</v>
      </c>
      <c r="X25" t="s">
        <v>11</v>
      </c>
      <c r="Y25" t="e">
        <f t="shared" si="0"/>
        <v>#VALUE!</v>
      </c>
    </row>
    <row r="26" spans="1:25" x14ac:dyDescent="0.2">
      <c r="A26" t="s">
        <v>501</v>
      </c>
      <c r="B26" t="s">
        <v>502</v>
      </c>
      <c r="C26" t="s">
        <v>503</v>
      </c>
      <c r="D26" t="s">
        <v>7</v>
      </c>
      <c r="E26">
        <v>125.8</v>
      </c>
      <c r="F26" t="s">
        <v>11</v>
      </c>
      <c r="G26" t="s">
        <v>11</v>
      </c>
      <c r="H26" t="s">
        <v>11</v>
      </c>
      <c r="I26" t="s">
        <v>11</v>
      </c>
      <c r="J26" t="s">
        <v>11</v>
      </c>
      <c r="K26" t="s">
        <v>11</v>
      </c>
      <c r="L26" t="s">
        <v>11</v>
      </c>
      <c r="M26" t="s">
        <v>11</v>
      </c>
      <c r="N26" t="s">
        <v>11</v>
      </c>
      <c r="O26" t="s">
        <v>11</v>
      </c>
      <c r="P26" t="s">
        <v>11</v>
      </c>
      <c r="Q26" t="s">
        <v>11</v>
      </c>
      <c r="R26" t="s">
        <v>11</v>
      </c>
      <c r="S26" t="s">
        <v>11</v>
      </c>
      <c r="T26" t="s">
        <v>11</v>
      </c>
      <c r="U26" t="s">
        <v>11</v>
      </c>
      <c r="V26" t="s">
        <v>11</v>
      </c>
      <c r="W26" t="s">
        <v>11</v>
      </c>
      <c r="X26" t="s">
        <v>11</v>
      </c>
      <c r="Y26" t="e">
        <f t="shared" si="0"/>
        <v>#VALUE!</v>
      </c>
    </row>
    <row r="27" spans="1:25" x14ac:dyDescent="0.2">
      <c r="A27" t="s">
        <v>516</v>
      </c>
      <c r="B27" t="s">
        <v>517</v>
      </c>
      <c r="C27" t="s">
        <v>518</v>
      </c>
      <c r="D27" t="s">
        <v>7</v>
      </c>
      <c r="E27" t="s">
        <v>11</v>
      </c>
      <c r="F27" t="s">
        <v>11</v>
      </c>
      <c r="G27" t="s">
        <v>11</v>
      </c>
      <c r="H27" t="s">
        <v>11</v>
      </c>
      <c r="I27" t="s">
        <v>11</v>
      </c>
      <c r="J27" t="s">
        <v>11</v>
      </c>
      <c r="K27" t="s">
        <v>11</v>
      </c>
      <c r="L27" t="s">
        <v>11</v>
      </c>
      <c r="M27" t="s">
        <v>11</v>
      </c>
      <c r="N27" t="s">
        <v>11</v>
      </c>
      <c r="O27" t="s">
        <v>11</v>
      </c>
      <c r="P27" t="s">
        <v>11</v>
      </c>
      <c r="Q27" t="s">
        <v>11</v>
      </c>
      <c r="R27" t="s">
        <v>11</v>
      </c>
      <c r="S27" t="s">
        <v>11</v>
      </c>
      <c r="T27" t="s">
        <v>11</v>
      </c>
      <c r="U27" t="s">
        <v>11</v>
      </c>
      <c r="V27" t="s">
        <v>11</v>
      </c>
      <c r="W27" t="s">
        <v>11</v>
      </c>
      <c r="X27" t="s">
        <v>11</v>
      </c>
      <c r="Y27" t="e">
        <f t="shared" si="0"/>
        <v>#VALUE!</v>
      </c>
    </row>
    <row r="28" spans="1:25" x14ac:dyDescent="0.2">
      <c r="A28" t="s">
        <v>519</v>
      </c>
      <c r="B28" t="s">
        <v>520</v>
      </c>
      <c r="C28" t="s">
        <v>521</v>
      </c>
      <c r="D28" t="s">
        <v>7</v>
      </c>
      <c r="E28">
        <v>340.93</v>
      </c>
      <c r="F28">
        <v>476.65</v>
      </c>
      <c r="G28">
        <v>654.53</v>
      </c>
      <c r="H28">
        <v>892.85</v>
      </c>
      <c r="I28">
        <v>1076.21</v>
      </c>
      <c r="J28" t="s">
        <v>11</v>
      </c>
      <c r="K28" t="s">
        <v>11</v>
      </c>
      <c r="L28" t="s">
        <v>11</v>
      </c>
      <c r="M28">
        <v>1844.49</v>
      </c>
      <c r="N28" t="s">
        <v>11</v>
      </c>
      <c r="O28" t="s">
        <v>11</v>
      </c>
      <c r="P28" t="s">
        <v>11</v>
      </c>
      <c r="Q28" t="s">
        <v>11</v>
      </c>
      <c r="R28" t="s">
        <v>11</v>
      </c>
      <c r="S28" t="s">
        <v>11</v>
      </c>
      <c r="T28" t="s">
        <v>11</v>
      </c>
      <c r="U28" t="s">
        <v>11</v>
      </c>
      <c r="V28" t="s">
        <v>11</v>
      </c>
      <c r="W28" t="s">
        <v>11</v>
      </c>
      <c r="X28" t="s">
        <v>11</v>
      </c>
      <c r="Y28" t="e">
        <f t="shared" si="0"/>
        <v>#VALUE!</v>
      </c>
    </row>
    <row r="29" spans="1:25" x14ac:dyDescent="0.2">
      <c r="A29" t="s">
        <v>528</v>
      </c>
      <c r="B29" t="s">
        <v>529</v>
      </c>
      <c r="C29" t="s">
        <v>530</v>
      </c>
      <c r="D29" t="s">
        <v>7</v>
      </c>
      <c r="E29" t="s">
        <v>11</v>
      </c>
      <c r="F29" t="s">
        <v>11</v>
      </c>
      <c r="G29" t="s">
        <v>11</v>
      </c>
      <c r="H29" t="s">
        <v>11</v>
      </c>
      <c r="I29" t="s">
        <v>11</v>
      </c>
      <c r="J29" t="s">
        <v>11</v>
      </c>
      <c r="K29" t="s">
        <v>11</v>
      </c>
      <c r="L29" t="s">
        <v>11</v>
      </c>
      <c r="M29" t="s">
        <v>11</v>
      </c>
      <c r="N29" t="s">
        <v>11</v>
      </c>
      <c r="O29" t="s">
        <v>11</v>
      </c>
      <c r="P29" t="s">
        <v>11</v>
      </c>
      <c r="Q29" t="s">
        <v>11</v>
      </c>
      <c r="R29" t="s">
        <v>11</v>
      </c>
      <c r="S29" t="s">
        <v>11</v>
      </c>
      <c r="T29" t="s">
        <v>11</v>
      </c>
      <c r="U29" t="s">
        <v>11</v>
      </c>
      <c r="V29" t="s">
        <v>11</v>
      </c>
      <c r="W29" t="s">
        <v>11</v>
      </c>
      <c r="X29" t="s">
        <v>11</v>
      </c>
      <c r="Y29" t="e">
        <f t="shared" si="0"/>
        <v>#VALUE!</v>
      </c>
    </row>
    <row r="30" spans="1:25" x14ac:dyDescent="0.2">
      <c r="A30" t="s">
        <v>531</v>
      </c>
      <c r="B30" t="s">
        <v>532</v>
      </c>
      <c r="C30" t="s">
        <v>533</v>
      </c>
      <c r="D30" t="s">
        <v>7</v>
      </c>
      <c r="E30">
        <v>40.799999999999997</v>
      </c>
      <c r="F30">
        <v>33.1</v>
      </c>
      <c r="G30">
        <v>59.9</v>
      </c>
      <c r="H30">
        <v>54.55</v>
      </c>
      <c r="I30" t="s">
        <v>11</v>
      </c>
      <c r="J30" t="s">
        <v>11</v>
      </c>
      <c r="K30" t="s">
        <v>11</v>
      </c>
      <c r="L30" t="s">
        <v>11</v>
      </c>
      <c r="M30" t="s">
        <v>11</v>
      </c>
      <c r="N30" t="s">
        <v>11</v>
      </c>
      <c r="O30" t="s">
        <v>11</v>
      </c>
      <c r="P30">
        <v>23.78</v>
      </c>
      <c r="Q30" t="s">
        <v>11</v>
      </c>
      <c r="R30">
        <v>22.81</v>
      </c>
      <c r="S30">
        <v>16.38</v>
      </c>
      <c r="T30">
        <v>16.18</v>
      </c>
      <c r="U30" t="s">
        <v>11</v>
      </c>
      <c r="V30" t="s">
        <v>11</v>
      </c>
      <c r="W30" t="s">
        <v>11</v>
      </c>
      <c r="X30" t="s">
        <v>11</v>
      </c>
      <c r="Y30" t="e">
        <f t="shared" si="0"/>
        <v>#VALUE!</v>
      </c>
    </row>
    <row r="31" spans="1:25" x14ac:dyDescent="0.2">
      <c r="A31" t="s">
        <v>549</v>
      </c>
      <c r="B31" t="s">
        <v>550</v>
      </c>
      <c r="C31" t="s">
        <v>551</v>
      </c>
      <c r="D31" t="s">
        <v>7</v>
      </c>
      <c r="E31" t="s">
        <v>11</v>
      </c>
      <c r="F31">
        <v>1027.6300000000001</v>
      </c>
      <c r="G31">
        <v>1207.67</v>
      </c>
      <c r="H31">
        <v>1525.4</v>
      </c>
      <c r="I31">
        <v>2073.11</v>
      </c>
      <c r="J31" t="s">
        <v>11</v>
      </c>
      <c r="K31" t="s">
        <v>11</v>
      </c>
      <c r="L31" t="s">
        <v>11</v>
      </c>
      <c r="M31" t="s">
        <v>11</v>
      </c>
      <c r="N31" t="s">
        <v>11</v>
      </c>
      <c r="O31" t="s">
        <v>11</v>
      </c>
      <c r="P31" t="s">
        <v>11</v>
      </c>
      <c r="Q31" t="s">
        <v>11</v>
      </c>
      <c r="R31" t="s">
        <v>11</v>
      </c>
      <c r="S31" t="s">
        <v>11</v>
      </c>
      <c r="T31" t="s">
        <v>11</v>
      </c>
      <c r="U31">
        <v>2630.26</v>
      </c>
      <c r="V31">
        <v>3737.48</v>
      </c>
      <c r="W31">
        <v>4218.1499999999996</v>
      </c>
      <c r="X31" t="s">
        <v>11</v>
      </c>
      <c r="Y31" t="e">
        <f t="shared" si="0"/>
        <v>#VALUE!</v>
      </c>
    </row>
    <row r="32" spans="1:25" x14ac:dyDescent="0.2">
      <c r="A32" t="s">
        <v>552</v>
      </c>
      <c r="B32" t="s">
        <v>553</v>
      </c>
      <c r="C32" t="s">
        <v>554</v>
      </c>
      <c r="D32" t="s">
        <v>7</v>
      </c>
      <c r="E32" t="s">
        <v>11</v>
      </c>
      <c r="F32">
        <v>852.62</v>
      </c>
      <c r="G32">
        <v>811.1</v>
      </c>
      <c r="H32">
        <v>896.86</v>
      </c>
      <c r="I32">
        <v>842.7</v>
      </c>
      <c r="J32" t="s">
        <v>11</v>
      </c>
      <c r="K32" t="s">
        <v>11</v>
      </c>
      <c r="L32" t="s">
        <v>11</v>
      </c>
      <c r="M32" t="s">
        <v>11</v>
      </c>
      <c r="N32" t="s">
        <v>11</v>
      </c>
      <c r="O32" t="s">
        <v>11</v>
      </c>
      <c r="P32" t="s">
        <v>11</v>
      </c>
      <c r="Q32" t="s">
        <v>11</v>
      </c>
      <c r="R32" t="s">
        <v>11</v>
      </c>
      <c r="S32" t="s">
        <v>11</v>
      </c>
      <c r="T32" t="s">
        <v>11</v>
      </c>
      <c r="U32">
        <v>678.5</v>
      </c>
      <c r="V32">
        <v>870.09</v>
      </c>
      <c r="W32">
        <v>939.96</v>
      </c>
      <c r="X32" t="s">
        <v>11</v>
      </c>
      <c r="Y32" t="e">
        <f t="shared" si="0"/>
        <v>#VALUE!</v>
      </c>
    </row>
    <row r="33" spans="1:25" x14ac:dyDescent="0.2">
      <c r="A33" t="s">
        <v>567</v>
      </c>
      <c r="B33" t="s">
        <v>568</v>
      </c>
      <c r="C33" t="s">
        <v>569</v>
      </c>
      <c r="D33" t="s">
        <v>7</v>
      </c>
      <c r="E33">
        <v>74.08</v>
      </c>
      <c r="F33">
        <v>84.47</v>
      </c>
      <c r="G33">
        <v>83.12</v>
      </c>
      <c r="H33">
        <v>93.17</v>
      </c>
      <c r="I33">
        <v>103.7</v>
      </c>
      <c r="J33">
        <v>104.76</v>
      </c>
      <c r="K33" t="s">
        <v>11</v>
      </c>
      <c r="L33" t="s">
        <v>11</v>
      </c>
      <c r="M33">
        <v>189.62</v>
      </c>
      <c r="N33" t="s">
        <v>11</v>
      </c>
      <c r="O33" t="s">
        <v>11</v>
      </c>
      <c r="P33">
        <v>167.48</v>
      </c>
      <c r="Q33" t="s">
        <v>11</v>
      </c>
      <c r="R33" t="s">
        <v>11</v>
      </c>
      <c r="S33" t="s">
        <v>11</v>
      </c>
      <c r="T33">
        <v>76.61</v>
      </c>
      <c r="U33" t="s">
        <v>11</v>
      </c>
      <c r="V33" t="s">
        <v>11</v>
      </c>
      <c r="W33" t="s">
        <v>11</v>
      </c>
      <c r="X33" t="s">
        <v>11</v>
      </c>
      <c r="Y33" t="e">
        <f t="shared" si="0"/>
        <v>#VALUE!</v>
      </c>
    </row>
    <row r="34" spans="1:25" x14ac:dyDescent="0.2">
      <c r="A34" t="s">
        <v>570</v>
      </c>
      <c r="B34" t="s">
        <v>571</v>
      </c>
      <c r="C34" t="s">
        <v>572</v>
      </c>
      <c r="D34" t="s">
        <v>7</v>
      </c>
      <c r="E34">
        <v>1797.12</v>
      </c>
      <c r="F34">
        <v>2196.7600000000002</v>
      </c>
      <c r="G34">
        <v>2534.5300000000002</v>
      </c>
      <c r="H34">
        <v>3116.64</v>
      </c>
      <c r="I34">
        <v>2723.62</v>
      </c>
      <c r="J34">
        <v>2261.9499999999998</v>
      </c>
      <c r="K34" t="s">
        <v>11</v>
      </c>
      <c r="L34" t="s">
        <v>11</v>
      </c>
      <c r="M34">
        <v>2112.75</v>
      </c>
      <c r="N34" t="s">
        <v>11</v>
      </c>
      <c r="O34" t="s">
        <v>11</v>
      </c>
      <c r="P34">
        <v>1336.7</v>
      </c>
      <c r="Q34" t="s">
        <v>11</v>
      </c>
      <c r="R34" t="s">
        <v>11</v>
      </c>
      <c r="S34" t="s">
        <v>11</v>
      </c>
      <c r="T34">
        <v>1593.83</v>
      </c>
      <c r="U34" t="s">
        <v>11</v>
      </c>
      <c r="V34" t="s">
        <v>11</v>
      </c>
      <c r="W34" t="s">
        <v>11</v>
      </c>
      <c r="X34" t="s">
        <v>11</v>
      </c>
      <c r="Y34" t="e">
        <f t="shared" si="0"/>
        <v>#VALUE!</v>
      </c>
    </row>
    <row r="35" spans="1:25" x14ac:dyDescent="0.2">
      <c r="A35" t="s">
        <v>582</v>
      </c>
      <c r="B35" t="s">
        <v>583</v>
      </c>
      <c r="C35" t="s">
        <v>584</v>
      </c>
      <c r="D35" t="s">
        <v>7</v>
      </c>
      <c r="E35" t="s">
        <v>11</v>
      </c>
      <c r="F35" t="s">
        <v>11</v>
      </c>
      <c r="G35" t="s">
        <v>11</v>
      </c>
      <c r="H35" t="s">
        <v>11</v>
      </c>
      <c r="I35" t="s">
        <v>11</v>
      </c>
      <c r="J35">
        <v>1071.83</v>
      </c>
      <c r="K35" t="s">
        <v>11</v>
      </c>
      <c r="L35" t="s">
        <v>11</v>
      </c>
      <c r="M35" t="s">
        <v>11</v>
      </c>
      <c r="N35">
        <v>1883.03</v>
      </c>
      <c r="O35">
        <v>1777.49</v>
      </c>
      <c r="P35">
        <v>1223.02</v>
      </c>
      <c r="Q35">
        <v>1614</v>
      </c>
      <c r="R35">
        <v>1705.45</v>
      </c>
      <c r="S35">
        <v>1866.58</v>
      </c>
      <c r="T35" t="s">
        <v>11</v>
      </c>
      <c r="U35">
        <v>2060.92</v>
      </c>
      <c r="V35" t="s">
        <v>11</v>
      </c>
      <c r="W35" t="s">
        <v>11</v>
      </c>
      <c r="X35" t="s">
        <v>11</v>
      </c>
      <c r="Y35" t="e">
        <f t="shared" si="0"/>
        <v>#VALUE!</v>
      </c>
    </row>
    <row r="36" spans="1:25" x14ac:dyDescent="0.2">
      <c r="A36" t="s">
        <v>588</v>
      </c>
      <c r="B36" t="s">
        <v>589</v>
      </c>
      <c r="C36" t="s">
        <v>590</v>
      </c>
      <c r="D36" t="s">
        <v>7</v>
      </c>
      <c r="E36">
        <v>554.73</v>
      </c>
      <c r="F36" t="s">
        <v>11</v>
      </c>
      <c r="G36" t="s">
        <v>11</v>
      </c>
      <c r="H36" t="s">
        <v>11</v>
      </c>
      <c r="I36" t="s">
        <v>11</v>
      </c>
      <c r="J36" t="s">
        <v>11</v>
      </c>
      <c r="K36" t="s">
        <v>11</v>
      </c>
      <c r="L36" t="s">
        <v>11</v>
      </c>
      <c r="M36" t="s">
        <v>11</v>
      </c>
      <c r="N36" t="s">
        <v>11</v>
      </c>
      <c r="O36">
        <v>11.75</v>
      </c>
      <c r="P36" t="s">
        <v>11</v>
      </c>
      <c r="Q36" t="s">
        <v>11</v>
      </c>
      <c r="R36" t="s">
        <v>11</v>
      </c>
      <c r="S36" t="s">
        <v>11</v>
      </c>
      <c r="T36" t="s">
        <v>11</v>
      </c>
      <c r="U36" t="s">
        <v>11</v>
      </c>
      <c r="V36" t="s">
        <v>11</v>
      </c>
      <c r="W36" t="s">
        <v>11</v>
      </c>
      <c r="X36" t="s">
        <v>11</v>
      </c>
      <c r="Y36" t="e">
        <f t="shared" si="0"/>
        <v>#VALUE!</v>
      </c>
    </row>
    <row r="37" spans="1:25" x14ac:dyDescent="0.2">
      <c r="A37" t="s">
        <v>594</v>
      </c>
      <c r="B37" t="s">
        <v>595</v>
      </c>
      <c r="C37" t="s">
        <v>596</v>
      </c>
      <c r="D37" t="s">
        <v>7</v>
      </c>
      <c r="E37" t="s">
        <v>11</v>
      </c>
      <c r="F37" t="s">
        <v>11</v>
      </c>
      <c r="G37" t="s">
        <v>11</v>
      </c>
      <c r="H37" t="s">
        <v>11</v>
      </c>
      <c r="I37" t="s">
        <v>11</v>
      </c>
      <c r="J37" t="s">
        <v>11</v>
      </c>
      <c r="K37" t="s">
        <v>11</v>
      </c>
      <c r="L37" t="s">
        <v>11</v>
      </c>
      <c r="M37" t="s">
        <v>11</v>
      </c>
      <c r="N37" t="s">
        <v>11</v>
      </c>
      <c r="O37" t="s">
        <v>11</v>
      </c>
      <c r="P37" t="s">
        <v>11</v>
      </c>
      <c r="Q37" t="s">
        <v>11</v>
      </c>
      <c r="R37" t="s">
        <v>11</v>
      </c>
      <c r="S37" t="s">
        <v>11</v>
      </c>
      <c r="T37" t="s">
        <v>11</v>
      </c>
      <c r="U37" t="s">
        <v>11</v>
      </c>
      <c r="V37" t="s">
        <v>11</v>
      </c>
      <c r="W37" t="s">
        <v>11</v>
      </c>
      <c r="X37" t="s">
        <v>11</v>
      </c>
      <c r="Y37" t="e">
        <f t="shared" si="0"/>
        <v>#VALUE!</v>
      </c>
    </row>
    <row r="38" spans="1:25" x14ac:dyDescent="0.2">
      <c r="A38" t="s">
        <v>597</v>
      </c>
      <c r="B38" t="s">
        <v>598</v>
      </c>
      <c r="C38" t="s">
        <v>599</v>
      </c>
      <c r="D38" t="s">
        <v>7</v>
      </c>
      <c r="E38" t="s">
        <v>11</v>
      </c>
      <c r="F38" t="s">
        <v>11</v>
      </c>
      <c r="G38" t="s">
        <v>11</v>
      </c>
      <c r="H38" t="s">
        <v>11</v>
      </c>
      <c r="I38" t="s">
        <v>11</v>
      </c>
      <c r="J38" t="s">
        <v>11</v>
      </c>
      <c r="K38" t="s">
        <v>11</v>
      </c>
      <c r="L38" t="s">
        <v>11</v>
      </c>
      <c r="M38" t="s">
        <v>11</v>
      </c>
      <c r="N38" t="s">
        <v>11</v>
      </c>
      <c r="O38" t="s">
        <v>11</v>
      </c>
      <c r="P38" t="s">
        <v>11</v>
      </c>
      <c r="Q38" t="s">
        <v>11</v>
      </c>
      <c r="R38" t="s">
        <v>11</v>
      </c>
      <c r="S38" t="s">
        <v>11</v>
      </c>
      <c r="T38" t="s">
        <v>11</v>
      </c>
      <c r="U38" t="s">
        <v>11</v>
      </c>
      <c r="V38" t="s">
        <v>11</v>
      </c>
      <c r="W38" t="s">
        <v>11</v>
      </c>
      <c r="X38" t="s">
        <v>11</v>
      </c>
      <c r="Y38" t="e">
        <f t="shared" si="0"/>
        <v>#VALUE!</v>
      </c>
    </row>
    <row r="39" spans="1:25" x14ac:dyDescent="0.2">
      <c r="A39" t="s">
        <v>600</v>
      </c>
      <c r="B39" t="s">
        <v>601</v>
      </c>
      <c r="C39" t="s">
        <v>602</v>
      </c>
      <c r="D39" t="s">
        <v>7</v>
      </c>
      <c r="E39" t="s">
        <v>11</v>
      </c>
      <c r="F39" t="s">
        <v>11</v>
      </c>
      <c r="G39" t="s">
        <v>11</v>
      </c>
      <c r="H39" t="s">
        <v>11</v>
      </c>
      <c r="I39" t="s">
        <v>11</v>
      </c>
      <c r="J39" t="s">
        <v>11</v>
      </c>
      <c r="K39" t="s">
        <v>11</v>
      </c>
      <c r="L39" t="s">
        <v>11</v>
      </c>
      <c r="M39" t="s">
        <v>11</v>
      </c>
      <c r="N39" t="s">
        <v>11</v>
      </c>
      <c r="O39" t="s">
        <v>11</v>
      </c>
      <c r="P39" t="s">
        <v>11</v>
      </c>
      <c r="Q39" t="s">
        <v>11</v>
      </c>
      <c r="R39" t="s">
        <v>11</v>
      </c>
      <c r="S39" t="s">
        <v>11</v>
      </c>
      <c r="T39" t="s">
        <v>11</v>
      </c>
      <c r="U39" t="s">
        <v>11</v>
      </c>
      <c r="V39" t="s">
        <v>11</v>
      </c>
      <c r="W39" t="s">
        <v>11</v>
      </c>
      <c r="X39" t="s">
        <v>11</v>
      </c>
      <c r="Y39" t="e">
        <f t="shared" si="0"/>
        <v>#VALUE!</v>
      </c>
    </row>
    <row r="40" spans="1:25" x14ac:dyDescent="0.2">
      <c r="A40" t="s">
        <v>723</v>
      </c>
      <c r="B40" t="s">
        <v>724</v>
      </c>
      <c r="C40" t="s">
        <v>725</v>
      </c>
      <c r="D40" t="s">
        <v>7</v>
      </c>
      <c r="E40" t="s">
        <v>11</v>
      </c>
      <c r="F40" t="s">
        <v>11</v>
      </c>
      <c r="G40" t="s">
        <v>11</v>
      </c>
      <c r="H40" t="s">
        <v>11</v>
      </c>
      <c r="I40" t="s">
        <v>11</v>
      </c>
      <c r="J40" t="s">
        <v>11</v>
      </c>
      <c r="K40" t="s">
        <v>11</v>
      </c>
      <c r="L40" t="s">
        <v>11</v>
      </c>
      <c r="M40" t="s">
        <v>11</v>
      </c>
      <c r="N40" t="s">
        <v>11</v>
      </c>
      <c r="O40" t="s">
        <v>11</v>
      </c>
      <c r="P40" t="s">
        <v>11</v>
      </c>
      <c r="Q40" t="s">
        <v>11</v>
      </c>
      <c r="R40" t="s">
        <v>11</v>
      </c>
      <c r="S40" t="s">
        <v>11</v>
      </c>
      <c r="T40" t="s">
        <v>11</v>
      </c>
      <c r="U40" t="s">
        <v>11</v>
      </c>
      <c r="V40" t="s">
        <v>11</v>
      </c>
      <c r="W40" t="s">
        <v>11</v>
      </c>
      <c r="X40" t="s">
        <v>11</v>
      </c>
      <c r="Y40" t="e">
        <f t="shared" si="0"/>
        <v>#VALUE!</v>
      </c>
    </row>
    <row r="41" spans="1:25" x14ac:dyDescent="0.2">
      <c r="A41" t="s">
        <v>726</v>
      </c>
      <c r="B41" t="s">
        <v>727</v>
      </c>
      <c r="C41" t="s">
        <v>728</v>
      </c>
      <c r="D41" t="s">
        <v>7</v>
      </c>
      <c r="E41" t="s">
        <v>11</v>
      </c>
      <c r="F41" t="s">
        <v>11</v>
      </c>
      <c r="G41" t="s">
        <v>11</v>
      </c>
      <c r="H41" t="s">
        <v>11</v>
      </c>
      <c r="I41" t="s">
        <v>11</v>
      </c>
      <c r="J41" t="s">
        <v>11</v>
      </c>
      <c r="K41" t="s">
        <v>11</v>
      </c>
      <c r="L41" t="s">
        <v>11</v>
      </c>
      <c r="M41" t="s">
        <v>11</v>
      </c>
      <c r="N41" t="s">
        <v>11</v>
      </c>
      <c r="O41" t="s">
        <v>11</v>
      </c>
      <c r="P41" t="s">
        <v>11</v>
      </c>
      <c r="Q41" t="s">
        <v>11</v>
      </c>
      <c r="R41" t="s">
        <v>11</v>
      </c>
      <c r="S41" t="s">
        <v>11</v>
      </c>
      <c r="T41" t="s">
        <v>11</v>
      </c>
      <c r="U41" t="s">
        <v>11</v>
      </c>
      <c r="V41" t="s">
        <v>11</v>
      </c>
      <c r="W41" t="s">
        <v>11</v>
      </c>
      <c r="X41" t="s">
        <v>11</v>
      </c>
      <c r="Y41" t="e">
        <f t="shared" si="0"/>
        <v>#VALUE!</v>
      </c>
    </row>
    <row r="42" spans="1:25" x14ac:dyDescent="0.2">
      <c r="A42" t="s">
        <v>729</v>
      </c>
      <c r="B42" t="s">
        <v>730</v>
      </c>
      <c r="C42" t="s">
        <v>731</v>
      </c>
      <c r="D42" t="s">
        <v>7</v>
      </c>
      <c r="E42" t="s">
        <v>11</v>
      </c>
      <c r="F42" t="s">
        <v>11</v>
      </c>
      <c r="G42" t="s">
        <v>11</v>
      </c>
      <c r="H42" t="s">
        <v>11</v>
      </c>
      <c r="I42" t="s">
        <v>11</v>
      </c>
      <c r="J42" t="s">
        <v>11</v>
      </c>
      <c r="K42" t="s">
        <v>11</v>
      </c>
      <c r="L42" t="s">
        <v>11</v>
      </c>
      <c r="M42" t="s">
        <v>11</v>
      </c>
      <c r="N42" t="s">
        <v>11</v>
      </c>
      <c r="O42" t="s">
        <v>11</v>
      </c>
      <c r="P42" t="s">
        <v>11</v>
      </c>
      <c r="Q42" t="s">
        <v>11</v>
      </c>
      <c r="R42" t="s">
        <v>11</v>
      </c>
      <c r="S42" t="s">
        <v>11</v>
      </c>
      <c r="T42" t="s">
        <v>11</v>
      </c>
      <c r="U42" t="s">
        <v>11</v>
      </c>
      <c r="V42" t="s">
        <v>11</v>
      </c>
      <c r="W42" t="s">
        <v>11</v>
      </c>
      <c r="X42" t="s">
        <v>11</v>
      </c>
      <c r="Y42" t="e">
        <f t="shared" si="0"/>
        <v>#VALUE!</v>
      </c>
    </row>
    <row r="43" spans="1:25" x14ac:dyDescent="0.2">
      <c r="A43" t="s">
        <v>741</v>
      </c>
      <c r="B43" t="s">
        <v>742</v>
      </c>
      <c r="C43" t="s">
        <v>743</v>
      </c>
      <c r="D43" t="s">
        <v>7</v>
      </c>
      <c r="E43">
        <v>76.97</v>
      </c>
      <c r="F43">
        <v>100.36</v>
      </c>
      <c r="G43">
        <v>149.88</v>
      </c>
      <c r="H43">
        <v>92.69</v>
      </c>
      <c r="I43">
        <v>87.33</v>
      </c>
      <c r="J43">
        <v>109.64</v>
      </c>
      <c r="K43">
        <v>147.32</v>
      </c>
      <c r="L43">
        <v>150.75</v>
      </c>
      <c r="M43">
        <v>70.17</v>
      </c>
      <c r="N43">
        <v>110.23</v>
      </c>
      <c r="O43">
        <v>32.36</v>
      </c>
      <c r="P43">
        <v>53.17</v>
      </c>
      <c r="Q43" t="s">
        <v>11</v>
      </c>
      <c r="R43" t="s">
        <v>11</v>
      </c>
      <c r="S43">
        <v>78.900000000000006</v>
      </c>
      <c r="T43">
        <v>83.61</v>
      </c>
      <c r="U43">
        <v>101.43</v>
      </c>
      <c r="V43">
        <v>81.88</v>
      </c>
      <c r="W43" t="s">
        <v>11</v>
      </c>
      <c r="X43" t="s">
        <v>11</v>
      </c>
      <c r="Y43" t="e">
        <f t="shared" si="0"/>
        <v>#VALUE!</v>
      </c>
    </row>
    <row r="44" spans="1:25" x14ac:dyDescent="0.2">
      <c r="A44" t="s">
        <v>747</v>
      </c>
      <c r="B44" t="s">
        <v>748</v>
      </c>
      <c r="C44" t="s">
        <v>749</v>
      </c>
      <c r="D44" t="s">
        <v>7</v>
      </c>
      <c r="E44">
        <v>27.27</v>
      </c>
      <c r="F44">
        <v>26.96</v>
      </c>
      <c r="G44">
        <v>146.87</v>
      </c>
      <c r="H44">
        <v>210.51</v>
      </c>
      <c r="I44" t="s">
        <v>11</v>
      </c>
      <c r="J44" t="s">
        <v>11</v>
      </c>
      <c r="K44" t="s">
        <v>11</v>
      </c>
      <c r="L44" t="s">
        <v>11</v>
      </c>
      <c r="M44">
        <v>64.319999999999993</v>
      </c>
      <c r="N44">
        <v>93.73</v>
      </c>
      <c r="O44">
        <v>96.91</v>
      </c>
      <c r="P44">
        <v>94.01</v>
      </c>
      <c r="Q44">
        <v>91.84</v>
      </c>
      <c r="R44">
        <v>98.97</v>
      </c>
      <c r="S44">
        <v>148.1</v>
      </c>
      <c r="T44">
        <v>131.46</v>
      </c>
      <c r="U44">
        <v>115.77</v>
      </c>
      <c r="V44">
        <v>141.18</v>
      </c>
      <c r="W44" t="s">
        <v>11</v>
      </c>
      <c r="X44" t="s">
        <v>11</v>
      </c>
      <c r="Y44" t="e">
        <f t="shared" si="0"/>
        <v>#VALUE!</v>
      </c>
    </row>
    <row r="45" spans="1:25" x14ac:dyDescent="0.2">
      <c r="A45" t="s">
        <v>780</v>
      </c>
      <c r="B45" t="s">
        <v>781</v>
      </c>
      <c r="C45" t="s">
        <v>782</v>
      </c>
      <c r="D45" t="s">
        <v>7</v>
      </c>
      <c r="E45">
        <v>87.8</v>
      </c>
      <c r="F45">
        <v>108.06</v>
      </c>
      <c r="G45">
        <v>135.58000000000001</v>
      </c>
      <c r="H45">
        <v>202.97</v>
      </c>
      <c r="I45">
        <v>188.81</v>
      </c>
      <c r="J45">
        <v>277.06</v>
      </c>
      <c r="K45" t="s">
        <v>11</v>
      </c>
      <c r="L45">
        <v>304.52</v>
      </c>
      <c r="M45">
        <v>272.39</v>
      </c>
      <c r="N45">
        <v>309.91000000000003</v>
      </c>
      <c r="O45">
        <v>345.32</v>
      </c>
      <c r="P45">
        <v>328.87</v>
      </c>
      <c r="Q45">
        <v>356.8</v>
      </c>
      <c r="R45">
        <v>508.36</v>
      </c>
      <c r="S45">
        <v>502.89</v>
      </c>
      <c r="T45">
        <v>386.97</v>
      </c>
      <c r="U45">
        <v>385.03</v>
      </c>
      <c r="V45">
        <v>529.33000000000004</v>
      </c>
      <c r="W45">
        <v>609.57000000000005</v>
      </c>
      <c r="X45" t="s">
        <v>11</v>
      </c>
      <c r="Y45" t="e">
        <f t="shared" si="0"/>
        <v>#VALUE!</v>
      </c>
    </row>
    <row r="46" spans="1:25" x14ac:dyDescent="0.2">
      <c r="A46" t="s">
        <v>783</v>
      </c>
      <c r="B46" t="s">
        <v>784</v>
      </c>
      <c r="C46" t="s">
        <v>785</v>
      </c>
      <c r="D46" t="s">
        <v>7</v>
      </c>
      <c r="E46">
        <v>5245.03</v>
      </c>
      <c r="F46">
        <v>5728.17</v>
      </c>
      <c r="G46">
        <v>8693.7999999999993</v>
      </c>
      <c r="H46">
        <v>12664.39</v>
      </c>
      <c r="I46">
        <v>14162.77</v>
      </c>
      <c r="J46">
        <v>11057.97</v>
      </c>
      <c r="K46">
        <v>10587.73</v>
      </c>
      <c r="L46">
        <v>10560.06</v>
      </c>
      <c r="M46">
        <v>9879.85</v>
      </c>
      <c r="N46">
        <v>9132.19</v>
      </c>
      <c r="O46">
        <v>9425.81</v>
      </c>
      <c r="P46">
        <v>10136.83</v>
      </c>
      <c r="Q46">
        <v>12628.7</v>
      </c>
      <c r="R46">
        <v>14626.37</v>
      </c>
      <c r="S46">
        <v>22058.75</v>
      </c>
      <c r="T46">
        <v>25903.17</v>
      </c>
      <c r="U46">
        <v>38648.910000000003</v>
      </c>
      <c r="V46">
        <v>55868.87</v>
      </c>
      <c r="W46">
        <v>69992.899999999994</v>
      </c>
      <c r="X46" t="s">
        <v>11</v>
      </c>
      <c r="Y46" t="e">
        <f t="shared" si="0"/>
        <v>#VALUE!</v>
      </c>
    </row>
    <row r="47" spans="1:25" x14ac:dyDescent="0.2">
      <c r="A47" t="s">
        <v>792</v>
      </c>
      <c r="B47" t="s">
        <v>793</v>
      </c>
      <c r="C47" t="s">
        <v>794</v>
      </c>
      <c r="D47" t="s">
        <v>7</v>
      </c>
      <c r="E47">
        <v>3.44</v>
      </c>
      <c r="F47" t="s">
        <v>11</v>
      </c>
      <c r="G47" t="s">
        <v>11</v>
      </c>
      <c r="H47" t="s">
        <v>11</v>
      </c>
      <c r="I47" t="s">
        <v>11</v>
      </c>
      <c r="J47" t="s">
        <v>11</v>
      </c>
      <c r="K47" t="s">
        <v>11</v>
      </c>
      <c r="L47" t="s">
        <v>11</v>
      </c>
      <c r="M47" t="s">
        <v>11</v>
      </c>
      <c r="N47" t="s">
        <v>11</v>
      </c>
      <c r="O47" t="s">
        <v>11</v>
      </c>
      <c r="P47" t="s">
        <v>11</v>
      </c>
      <c r="Q47" t="s">
        <v>11</v>
      </c>
      <c r="R47" t="s">
        <v>11</v>
      </c>
      <c r="S47" t="s">
        <v>11</v>
      </c>
      <c r="T47" t="s">
        <v>11</v>
      </c>
      <c r="U47" t="s">
        <v>11</v>
      </c>
      <c r="V47" t="s">
        <v>11</v>
      </c>
      <c r="W47" t="s">
        <v>11</v>
      </c>
      <c r="X47" t="s">
        <v>11</v>
      </c>
      <c r="Y47" t="e">
        <f t="shared" si="0"/>
        <v>#VALUE!</v>
      </c>
    </row>
    <row r="48" spans="1:25" x14ac:dyDescent="0.2">
      <c r="A48" t="s">
        <v>795</v>
      </c>
      <c r="B48" t="s">
        <v>796</v>
      </c>
      <c r="C48" t="s">
        <v>797</v>
      </c>
      <c r="D48" t="s">
        <v>7</v>
      </c>
      <c r="E48" t="s">
        <v>11</v>
      </c>
      <c r="F48" t="s">
        <v>11</v>
      </c>
      <c r="G48" t="s">
        <v>11</v>
      </c>
      <c r="H48" t="s">
        <v>11</v>
      </c>
      <c r="I48" t="s">
        <v>11</v>
      </c>
      <c r="J48" t="s">
        <v>11</v>
      </c>
      <c r="K48" t="s">
        <v>11</v>
      </c>
      <c r="L48" t="s">
        <v>11</v>
      </c>
      <c r="M48" t="s">
        <v>11</v>
      </c>
      <c r="N48" t="s">
        <v>11</v>
      </c>
      <c r="O48" t="s">
        <v>11</v>
      </c>
      <c r="P48" t="s">
        <v>11</v>
      </c>
      <c r="Q48" t="s">
        <v>11</v>
      </c>
      <c r="R48" t="s">
        <v>11</v>
      </c>
      <c r="S48" t="s">
        <v>11</v>
      </c>
      <c r="T48" t="s">
        <v>11</v>
      </c>
      <c r="U48" t="s">
        <v>11</v>
      </c>
      <c r="V48" t="s">
        <v>11</v>
      </c>
      <c r="W48" t="s">
        <v>11</v>
      </c>
      <c r="X48" t="s">
        <v>11</v>
      </c>
      <c r="Y48" t="e">
        <f t="shared" si="0"/>
        <v>#VALUE!</v>
      </c>
    </row>
    <row r="49" spans="1:25" x14ac:dyDescent="0.2">
      <c r="A49" t="s">
        <v>798</v>
      </c>
      <c r="B49" t="s">
        <v>799</v>
      </c>
      <c r="C49" t="s">
        <v>800</v>
      </c>
      <c r="D49" t="s">
        <v>7</v>
      </c>
      <c r="E49">
        <v>27.18</v>
      </c>
      <c r="F49" t="s">
        <v>11</v>
      </c>
      <c r="G49">
        <v>11.09</v>
      </c>
      <c r="H49">
        <v>11.12</v>
      </c>
      <c r="I49" t="s">
        <v>11</v>
      </c>
      <c r="J49" t="s">
        <v>11</v>
      </c>
      <c r="K49" t="s">
        <v>11</v>
      </c>
      <c r="L49" t="s">
        <v>11</v>
      </c>
      <c r="M49" t="s">
        <v>11</v>
      </c>
      <c r="N49" t="s">
        <v>11</v>
      </c>
      <c r="O49" t="s">
        <v>11</v>
      </c>
      <c r="P49" t="s">
        <v>11</v>
      </c>
      <c r="Q49" t="s">
        <v>11</v>
      </c>
      <c r="R49" t="s">
        <v>11</v>
      </c>
      <c r="S49" t="s">
        <v>11</v>
      </c>
      <c r="T49" t="s">
        <v>11</v>
      </c>
      <c r="U49" t="s">
        <v>11</v>
      </c>
      <c r="V49" t="s">
        <v>11</v>
      </c>
      <c r="W49" t="s">
        <v>11</v>
      </c>
      <c r="X49" t="s">
        <v>11</v>
      </c>
      <c r="Y49" t="e">
        <f t="shared" si="0"/>
        <v>#VALUE!</v>
      </c>
    </row>
    <row r="50" spans="1:25" x14ac:dyDescent="0.2">
      <c r="A50" t="s">
        <v>804</v>
      </c>
      <c r="B50" t="s">
        <v>805</v>
      </c>
      <c r="C50" t="s">
        <v>806</v>
      </c>
      <c r="D50" t="s">
        <v>7</v>
      </c>
      <c r="E50">
        <v>202.63</v>
      </c>
      <c r="F50">
        <v>190.76</v>
      </c>
      <c r="G50">
        <v>243.36</v>
      </c>
      <c r="H50">
        <v>307.95999999999998</v>
      </c>
      <c r="I50">
        <v>276.75</v>
      </c>
      <c r="J50" t="s">
        <v>11</v>
      </c>
      <c r="K50" t="s">
        <v>11</v>
      </c>
      <c r="L50" t="s">
        <v>11</v>
      </c>
      <c r="M50">
        <v>405.46</v>
      </c>
      <c r="N50">
        <v>495.22</v>
      </c>
      <c r="O50">
        <v>606.30999999999995</v>
      </c>
      <c r="P50">
        <v>495.73</v>
      </c>
      <c r="Q50" t="s">
        <v>11</v>
      </c>
      <c r="R50" t="s">
        <v>11</v>
      </c>
      <c r="S50" t="s">
        <v>11</v>
      </c>
      <c r="T50" t="s">
        <v>11</v>
      </c>
      <c r="U50" t="s">
        <v>11</v>
      </c>
      <c r="V50" t="s">
        <v>11</v>
      </c>
      <c r="W50">
        <v>409.61</v>
      </c>
      <c r="X50" t="s">
        <v>11</v>
      </c>
      <c r="Y50" t="e">
        <f t="shared" si="0"/>
        <v>#VALUE!</v>
      </c>
    </row>
    <row r="51" spans="1:25" x14ac:dyDescent="0.2">
      <c r="A51" t="s">
        <v>810</v>
      </c>
      <c r="B51" t="s">
        <v>811</v>
      </c>
      <c r="C51" t="s">
        <v>812</v>
      </c>
      <c r="D51" t="s">
        <v>7</v>
      </c>
      <c r="E51" t="s">
        <v>11</v>
      </c>
      <c r="F51" t="s">
        <v>11</v>
      </c>
      <c r="G51" t="s">
        <v>11</v>
      </c>
      <c r="H51" t="s">
        <v>11</v>
      </c>
      <c r="I51" t="s">
        <v>11</v>
      </c>
      <c r="J51" t="s">
        <v>11</v>
      </c>
      <c r="K51" t="s">
        <v>11</v>
      </c>
      <c r="L51" t="s">
        <v>11</v>
      </c>
      <c r="M51" t="s">
        <v>11</v>
      </c>
      <c r="N51" t="s">
        <v>11</v>
      </c>
      <c r="O51" t="s">
        <v>11</v>
      </c>
      <c r="P51" t="s">
        <v>11</v>
      </c>
      <c r="Q51" t="s">
        <v>11</v>
      </c>
      <c r="R51" t="s">
        <v>11</v>
      </c>
      <c r="S51" t="s">
        <v>11</v>
      </c>
      <c r="T51" t="s">
        <v>11</v>
      </c>
      <c r="U51" t="s">
        <v>11</v>
      </c>
      <c r="V51" t="s">
        <v>11</v>
      </c>
      <c r="W51" t="s">
        <v>11</v>
      </c>
      <c r="X51" t="s">
        <v>11</v>
      </c>
      <c r="Y51" t="e">
        <f t="shared" si="0"/>
        <v>#VALUE!</v>
      </c>
    </row>
    <row r="52" spans="1:25" x14ac:dyDescent="0.2">
      <c r="A52" t="s">
        <v>813</v>
      </c>
      <c r="B52" t="s">
        <v>814</v>
      </c>
      <c r="C52" t="s">
        <v>815</v>
      </c>
      <c r="D52" t="s">
        <v>7</v>
      </c>
      <c r="E52" t="s">
        <v>11</v>
      </c>
      <c r="F52" t="s">
        <v>11</v>
      </c>
      <c r="G52" t="s">
        <v>11</v>
      </c>
      <c r="H52" t="s">
        <v>11</v>
      </c>
      <c r="I52" t="s">
        <v>11</v>
      </c>
      <c r="J52" t="s">
        <v>11</v>
      </c>
      <c r="K52" t="s">
        <v>11</v>
      </c>
      <c r="L52" t="s">
        <v>11</v>
      </c>
      <c r="M52" t="s">
        <v>11</v>
      </c>
      <c r="N52" t="s">
        <v>11</v>
      </c>
      <c r="O52" t="s">
        <v>11</v>
      </c>
      <c r="P52" t="s">
        <v>11</v>
      </c>
      <c r="Q52" t="s">
        <v>11</v>
      </c>
      <c r="R52" t="s">
        <v>11</v>
      </c>
      <c r="S52" t="s">
        <v>11</v>
      </c>
      <c r="T52" t="s">
        <v>11</v>
      </c>
      <c r="U52" t="s">
        <v>11</v>
      </c>
      <c r="V52" t="s">
        <v>11</v>
      </c>
      <c r="W52" t="s">
        <v>11</v>
      </c>
      <c r="X52" t="s">
        <v>11</v>
      </c>
      <c r="Y52" t="e">
        <f t="shared" si="0"/>
        <v>#VALUE!</v>
      </c>
    </row>
    <row r="53" spans="1:25" x14ac:dyDescent="0.2">
      <c r="A53" t="s">
        <v>816</v>
      </c>
      <c r="B53" t="s">
        <v>817</v>
      </c>
      <c r="C53" t="s">
        <v>818</v>
      </c>
      <c r="D53" t="s">
        <v>7</v>
      </c>
      <c r="E53" t="s">
        <v>11</v>
      </c>
      <c r="F53" t="s">
        <v>11</v>
      </c>
      <c r="G53" t="s">
        <v>11</v>
      </c>
      <c r="H53" t="s">
        <v>11</v>
      </c>
      <c r="I53" t="s">
        <v>11</v>
      </c>
      <c r="J53" t="s">
        <v>11</v>
      </c>
      <c r="K53" t="s">
        <v>11</v>
      </c>
      <c r="L53" t="s">
        <v>11</v>
      </c>
      <c r="M53" t="s">
        <v>11</v>
      </c>
      <c r="N53" t="s">
        <v>11</v>
      </c>
      <c r="O53" t="s">
        <v>11</v>
      </c>
      <c r="P53" t="s">
        <v>11</v>
      </c>
      <c r="Q53" t="s">
        <v>11</v>
      </c>
      <c r="R53" t="s">
        <v>11</v>
      </c>
      <c r="S53" t="s">
        <v>11</v>
      </c>
      <c r="T53" t="s">
        <v>11</v>
      </c>
      <c r="U53" t="s">
        <v>11</v>
      </c>
      <c r="V53" t="s">
        <v>11</v>
      </c>
      <c r="W53" t="s">
        <v>11</v>
      </c>
      <c r="X53" t="s">
        <v>11</v>
      </c>
      <c r="Y53" t="e">
        <f t="shared" si="0"/>
        <v>#VALUE!</v>
      </c>
    </row>
    <row r="54" spans="1:25" x14ac:dyDescent="0.2">
      <c r="A54" t="s">
        <v>819</v>
      </c>
      <c r="B54" t="s">
        <v>820</v>
      </c>
      <c r="C54" t="s">
        <v>821</v>
      </c>
      <c r="D54" t="s">
        <v>7</v>
      </c>
      <c r="E54" t="s">
        <v>11</v>
      </c>
      <c r="F54" t="s">
        <v>11</v>
      </c>
      <c r="G54" t="s">
        <v>11</v>
      </c>
      <c r="H54" t="s">
        <v>11</v>
      </c>
      <c r="I54" t="s">
        <v>11</v>
      </c>
      <c r="J54" t="s">
        <v>11</v>
      </c>
      <c r="K54" t="s">
        <v>11</v>
      </c>
      <c r="L54" t="s">
        <v>11</v>
      </c>
      <c r="M54" t="s">
        <v>11</v>
      </c>
      <c r="N54" t="s">
        <v>11</v>
      </c>
      <c r="O54" t="s">
        <v>11</v>
      </c>
      <c r="P54" t="s">
        <v>11</v>
      </c>
      <c r="Q54" t="s">
        <v>11</v>
      </c>
      <c r="R54" t="s">
        <v>11</v>
      </c>
      <c r="S54" t="s">
        <v>11</v>
      </c>
      <c r="T54" t="s">
        <v>11</v>
      </c>
      <c r="U54" t="s">
        <v>11</v>
      </c>
      <c r="V54" t="s">
        <v>11</v>
      </c>
      <c r="W54" t="s">
        <v>11</v>
      </c>
      <c r="X54" t="s">
        <v>11</v>
      </c>
      <c r="Y54" t="e">
        <f t="shared" si="0"/>
        <v>#VALUE!</v>
      </c>
    </row>
    <row r="55" spans="1:25" x14ac:dyDescent="0.2">
      <c r="A55" t="s">
        <v>360</v>
      </c>
      <c r="B55" t="s">
        <v>361</v>
      </c>
      <c r="C55" t="s">
        <v>362</v>
      </c>
      <c r="D55" t="s">
        <v>7</v>
      </c>
      <c r="E55">
        <v>79824.34</v>
      </c>
      <c r="F55">
        <v>87078.65</v>
      </c>
      <c r="G55">
        <v>89780.82</v>
      </c>
      <c r="H55">
        <v>116561.25</v>
      </c>
      <c r="I55">
        <v>129077.25</v>
      </c>
      <c r="J55">
        <v>125450.31</v>
      </c>
      <c r="K55">
        <v>138205.49</v>
      </c>
      <c r="L55">
        <v>152487.79999999999</v>
      </c>
      <c r="M55">
        <v>141558.54999999999</v>
      </c>
      <c r="N55">
        <v>129031.07</v>
      </c>
      <c r="O55">
        <v>138753.89000000001</v>
      </c>
      <c r="P55">
        <v>131334.37</v>
      </c>
      <c r="Q55">
        <v>128565.4</v>
      </c>
      <c r="R55">
        <v>135266.35999999999</v>
      </c>
      <c r="S55">
        <v>155619.89000000001</v>
      </c>
      <c r="T55">
        <v>171814.83</v>
      </c>
      <c r="U55">
        <v>220139.57</v>
      </c>
      <c r="V55">
        <v>310257.95</v>
      </c>
      <c r="W55">
        <v>445499.54</v>
      </c>
      <c r="X55">
        <v>348603.27</v>
      </c>
      <c r="Y55">
        <f t="shared" si="0"/>
        <v>6.4591293033072775E-2</v>
      </c>
    </row>
    <row r="56" spans="1:25" x14ac:dyDescent="0.2">
      <c r="A56" t="s">
        <v>444</v>
      </c>
      <c r="B56" t="s">
        <v>445</v>
      </c>
      <c r="C56" t="s">
        <v>446</v>
      </c>
      <c r="D56" t="s">
        <v>7</v>
      </c>
      <c r="E56">
        <v>116423.28</v>
      </c>
      <c r="F56">
        <v>135229.6</v>
      </c>
      <c r="G56">
        <v>151174.89000000001</v>
      </c>
      <c r="H56">
        <v>161137.65</v>
      </c>
      <c r="I56">
        <v>144170.84</v>
      </c>
      <c r="J56">
        <v>156501.64000000001</v>
      </c>
      <c r="K56">
        <v>186019.69</v>
      </c>
      <c r="L56">
        <v>205979.03</v>
      </c>
      <c r="M56">
        <v>201212.09</v>
      </c>
      <c r="N56">
        <v>203561.19</v>
      </c>
      <c r="O56">
        <v>198922.03</v>
      </c>
      <c r="P56">
        <v>204982.74</v>
      </c>
      <c r="Q56">
        <v>227714.56</v>
      </c>
      <c r="R56">
        <v>255396.86</v>
      </c>
      <c r="S56">
        <v>254726.03</v>
      </c>
      <c r="T56">
        <v>239175.65</v>
      </c>
      <c r="U56">
        <v>325039.26</v>
      </c>
      <c r="V56">
        <v>431072.93</v>
      </c>
      <c r="W56">
        <v>334181.15999999997</v>
      </c>
      <c r="X56">
        <v>308346.46000000002</v>
      </c>
      <c r="Y56">
        <f t="shared" si="0"/>
        <v>5.713227117339046E-2</v>
      </c>
    </row>
    <row r="57" spans="1:25" x14ac:dyDescent="0.2">
      <c r="A57" t="s">
        <v>450</v>
      </c>
      <c r="B57" t="s">
        <v>451</v>
      </c>
      <c r="C57" t="s">
        <v>452</v>
      </c>
      <c r="D57" t="s">
        <v>7</v>
      </c>
      <c r="E57">
        <v>60508.61</v>
      </c>
      <c r="F57">
        <v>67160.94</v>
      </c>
      <c r="G57">
        <v>77381.05</v>
      </c>
      <c r="H57">
        <v>85556.800000000003</v>
      </c>
      <c r="I57">
        <v>93812.29</v>
      </c>
      <c r="J57">
        <v>101077.67</v>
      </c>
      <c r="K57">
        <v>122064.79</v>
      </c>
      <c r="L57">
        <v>128632.66</v>
      </c>
      <c r="M57">
        <v>136326.67000000001</v>
      </c>
      <c r="N57">
        <v>142847.29</v>
      </c>
      <c r="O57">
        <v>148405.51999999999</v>
      </c>
      <c r="P57">
        <v>158333.47</v>
      </c>
      <c r="Q57">
        <v>166381.56</v>
      </c>
      <c r="R57">
        <v>170488.95999999999</v>
      </c>
      <c r="S57">
        <v>179338.13</v>
      </c>
      <c r="T57">
        <v>189889.42</v>
      </c>
      <c r="U57">
        <v>205412.02</v>
      </c>
      <c r="V57">
        <v>251261.68</v>
      </c>
      <c r="W57">
        <v>287055.15999999997</v>
      </c>
      <c r="X57">
        <v>298233.19</v>
      </c>
      <c r="Y57">
        <f t="shared" si="0"/>
        <v>5.5258424189417579E-2</v>
      </c>
    </row>
    <row r="58" spans="1:25" x14ac:dyDescent="0.2">
      <c r="A58" t="s">
        <v>414</v>
      </c>
      <c r="B58" t="s">
        <v>415</v>
      </c>
      <c r="C58" t="s">
        <v>416</v>
      </c>
      <c r="D58" t="s">
        <v>7</v>
      </c>
      <c r="E58">
        <v>36227.300000000003</v>
      </c>
      <c r="F58">
        <v>40067.86</v>
      </c>
      <c r="G58">
        <v>54068.08</v>
      </c>
      <c r="H58">
        <v>54036.07</v>
      </c>
      <c r="I58">
        <v>51247.35</v>
      </c>
      <c r="J58">
        <v>56830.14</v>
      </c>
      <c r="K58">
        <v>55318.52</v>
      </c>
      <c r="L58">
        <v>55189.93</v>
      </c>
      <c r="M58">
        <v>61044.04</v>
      </c>
      <c r="N58">
        <v>69686.45</v>
      </c>
      <c r="O58">
        <v>78758.600000000006</v>
      </c>
      <c r="P58">
        <v>96477.440000000002</v>
      </c>
      <c r="Q58">
        <v>112883.53</v>
      </c>
      <c r="R58">
        <v>128185.49</v>
      </c>
      <c r="S58">
        <v>136277.79</v>
      </c>
      <c r="T58">
        <v>117949.26</v>
      </c>
      <c r="U58">
        <v>142145.35</v>
      </c>
      <c r="V58">
        <v>164991.1</v>
      </c>
      <c r="W58">
        <v>205148.65</v>
      </c>
      <c r="X58">
        <v>226098.79</v>
      </c>
      <c r="Y58">
        <f t="shared" si="0"/>
        <v>4.1892932327666298E-2</v>
      </c>
    </row>
    <row r="59" spans="1:25" x14ac:dyDescent="0.2">
      <c r="A59" t="s">
        <v>432</v>
      </c>
      <c r="B59" t="s">
        <v>433</v>
      </c>
      <c r="C59" t="s">
        <v>434</v>
      </c>
      <c r="D59" t="s">
        <v>7</v>
      </c>
      <c r="E59">
        <v>69314.960000000006</v>
      </c>
      <c r="F59">
        <v>72272.460000000006</v>
      </c>
      <c r="G59">
        <v>79453.56</v>
      </c>
      <c r="H59">
        <v>97849.61</v>
      </c>
      <c r="I59">
        <v>98110.38</v>
      </c>
      <c r="J59">
        <v>110001.45</v>
      </c>
      <c r="K59">
        <v>110185.08</v>
      </c>
      <c r="L59">
        <v>114977.21</v>
      </c>
      <c r="M59">
        <v>115416.48</v>
      </c>
      <c r="N59">
        <v>109464.76</v>
      </c>
      <c r="O59">
        <v>112427.58</v>
      </c>
      <c r="P59">
        <v>118382.63</v>
      </c>
      <c r="Q59">
        <v>127433.9</v>
      </c>
      <c r="R59">
        <v>132389.28</v>
      </c>
      <c r="S59">
        <v>140045.51</v>
      </c>
      <c r="T59">
        <v>141466.98000000001</v>
      </c>
      <c r="U59">
        <v>148668.32</v>
      </c>
      <c r="V59">
        <v>183616.15</v>
      </c>
      <c r="W59">
        <v>204444.77</v>
      </c>
      <c r="X59">
        <v>212549.95</v>
      </c>
      <c r="Y59">
        <f t="shared" si="0"/>
        <v>3.9382522443392361E-2</v>
      </c>
    </row>
    <row r="60" spans="1:25" x14ac:dyDescent="0.2">
      <c r="A60" t="s">
        <v>447</v>
      </c>
      <c r="B60" t="s">
        <v>448</v>
      </c>
      <c r="C60" t="s">
        <v>449</v>
      </c>
      <c r="D60" t="s">
        <v>7</v>
      </c>
      <c r="E60">
        <v>97716.09</v>
      </c>
      <c r="F60">
        <v>107376.36</v>
      </c>
      <c r="G60">
        <v>123818.87</v>
      </c>
      <c r="H60">
        <v>134980.64000000001</v>
      </c>
      <c r="I60">
        <v>131438.71</v>
      </c>
      <c r="J60">
        <v>122919.97</v>
      </c>
      <c r="K60">
        <v>120315.06</v>
      </c>
      <c r="L60">
        <v>122885.05</v>
      </c>
      <c r="M60">
        <v>126221.02</v>
      </c>
      <c r="N60">
        <v>134590.96</v>
      </c>
      <c r="O60">
        <v>134703.57999999999</v>
      </c>
      <c r="P60">
        <v>131685.15</v>
      </c>
      <c r="Q60">
        <v>134520.79999999999</v>
      </c>
      <c r="R60">
        <v>136669.66</v>
      </c>
      <c r="S60">
        <v>131232.71</v>
      </c>
      <c r="T60">
        <v>133753.17000000001</v>
      </c>
      <c r="U60">
        <v>158933.21</v>
      </c>
      <c r="V60">
        <v>189853.14</v>
      </c>
      <c r="W60">
        <v>179470.83</v>
      </c>
      <c r="X60">
        <v>184887.92</v>
      </c>
      <c r="Y60">
        <f t="shared" si="0"/>
        <v>3.4257136540903121E-2</v>
      </c>
    </row>
    <row r="61" spans="1:25" x14ac:dyDescent="0.2">
      <c r="A61" t="s">
        <v>435</v>
      </c>
      <c r="B61" t="s">
        <v>436</v>
      </c>
      <c r="C61" t="s">
        <v>437</v>
      </c>
      <c r="D61" t="s">
        <v>7</v>
      </c>
      <c r="E61">
        <v>59461.49</v>
      </c>
      <c r="F61">
        <v>63387.26</v>
      </c>
      <c r="G61">
        <v>70084.570000000007</v>
      </c>
      <c r="H61">
        <v>73857.440000000002</v>
      </c>
      <c r="I61">
        <v>77739.83</v>
      </c>
      <c r="J61">
        <v>77246.039999999994</v>
      </c>
      <c r="K61">
        <v>80939.37</v>
      </c>
      <c r="L61">
        <v>81951.56</v>
      </c>
      <c r="M61">
        <v>86183.79</v>
      </c>
      <c r="N61">
        <v>90147.18</v>
      </c>
      <c r="O61">
        <v>93511.07</v>
      </c>
      <c r="P61">
        <v>94819.839999999997</v>
      </c>
      <c r="Q61">
        <v>101213.59</v>
      </c>
      <c r="R61">
        <v>105373.8</v>
      </c>
      <c r="S61">
        <v>110093.31</v>
      </c>
      <c r="T61">
        <v>113253.57</v>
      </c>
      <c r="U61">
        <v>127510.18</v>
      </c>
      <c r="V61">
        <v>145256.64000000001</v>
      </c>
      <c r="W61">
        <v>158847.16</v>
      </c>
      <c r="X61">
        <v>170067.92</v>
      </c>
      <c r="Y61">
        <f t="shared" si="0"/>
        <v>3.1511198550275156E-2</v>
      </c>
    </row>
    <row r="62" spans="1:25" x14ac:dyDescent="0.2">
      <c r="A62" t="s">
        <v>315</v>
      </c>
      <c r="B62" t="s">
        <v>316</v>
      </c>
      <c r="C62" t="s">
        <v>317</v>
      </c>
      <c r="D62" t="s">
        <v>7</v>
      </c>
      <c r="E62">
        <v>27019.72</v>
      </c>
      <c r="F62">
        <v>31578.39</v>
      </c>
      <c r="G62">
        <v>36787.910000000003</v>
      </c>
      <c r="H62">
        <v>36759</v>
      </c>
      <c r="I62">
        <v>37526.1</v>
      </c>
      <c r="J62">
        <v>46254.89</v>
      </c>
      <c r="K62">
        <v>55915.34</v>
      </c>
      <c r="L62">
        <v>58616.58</v>
      </c>
      <c r="M62">
        <v>62753.82</v>
      </c>
      <c r="N62">
        <v>66602.720000000001</v>
      </c>
      <c r="O62">
        <v>74261.14</v>
      </c>
      <c r="P62">
        <v>81460.41</v>
      </c>
      <c r="Q62">
        <v>87302.19</v>
      </c>
      <c r="R62">
        <v>91857.56</v>
      </c>
      <c r="S62">
        <v>95104.31</v>
      </c>
      <c r="T62">
        <v>84444.08</v>
      </c>
      <c r="U62">
        <v>101849.56</v>
      </c>
      <c r="V62">
        <v>120431.6</v>
      </c>
      <c r="W62">
        <v>130396.98</v>
      </c>
      <c r="X62">
        <v>124435.98</v>
      </c>
      <c r="Y62">
        <f t="shared" si="0"/>
        <v>2.3056240545413078E-2</v>
      </c>
    </row>
    <row r="63" spans="1:25" x14ac:dyDescent="0.2">
      <c r="A63" t="s">
        <v>468</v>
      </c>
      <c r="B63" t="s">
        <v>469</v>
      </c>
      <c r="C63" t="s">
        <v>470</v>
      </c>
      <c r="D63" t="s">
        <v>7</v>
      </c>
      <c r="E63">
        <v>20951.419999999998</v>
      </c>
      <c r="F63">
        <v>24882.35</v>
      </c>
      <c r="G63">
        <v>32461.23</v>
      </c>
      <c r="H63">
        <v>38672.71</v>
      </c>
      <c r="I63">
        <v>43266.44</v>
      </c>
      <c r="J63">
        <v>40674.629999999997</v>
      </c>
      <c r="K63">
        <v>44426.93</v>
      </c>
      <c r="L63">
        <v>43162.25</v>
      </c>
      <c r="M63">
        <v>47404.87</v>
      </c>
      <c r="N63">
        <v>50488.959999999999</v>
      </c>
      <c r="O63">
        <v>54218.93</v>
      </c>
      <c r="P63">
        <v>59815.17</v>
      </c>
      <c r="Q63">
        <v>64010.55</v>
      </c>
      <c r="R63">
        <v>70784.66</v>
      </c>
      <c r="S63">
        <v>76454.48</v>
      </c>
      <c r="T63">
        <v>72233.279999999999</v>
      </c>
      <c r="U63">
        <v>87384.54</v>
      </c>
      <c r="V63">
        <v>108234.02</v>
      </c>
      <c r="W63">
        <v>118793.54</v>
      </c>
      <c r="X63">
        <v>117283.25</v>
      </c>
      <c r="Y63">
        <f t="shared" si="0"/>
        <v>2.1730940070129382E-2</v>
      </c>
    </row>
    <row r="64" spans="1:25" x14ac:dyDescent="0.2">
      <c r="A64" t="s">
        <v>75</v>
      </c>
      <c r="B64" t="s">
        <v>76</v>
      </c>
      <c r="C64" t="s">
        <v>77</v>
      </c>
      <c r="D64" t="s">
        <v>7</v>
      </c>
      <c r="E64">
        <v>32460.46</v>
      </c>
      <c r="F64">
        <v>33925.78</v>
      </c>
      <c r="G64">
        <v>38022.65</v>
      </c>
      <c r="H64">
        <v>39496.03</v>
      </c>
      <c r="I64">
        <v>43247.43</v>
      </c>
      <c r="J64">
        <v>43762.65</v>
      </c>
      <c r="K64">
        <v>51505.84</v>
      </c>
      <c r="L64">
        <v>58439.44</v>
      </c>
      <c r="M64">
        <v>59784.59</v>
      </c>
      <c r="N64">
        <v>60026.09</v>
      </c>
      <c r="O64">
        <v>60717.9</v>
      </c>
      <c r="P64">
        <v>65489.17</v>
      </c>
      <c r="Q64">
        <v>71039.06</v>
      </c>
      <c r="R64">
        <v>70978.44</v>
      </c>
      <c r="S64">
        <v>75047.3</v>
      </c>
      <c r="T64">
        <v>72433.539999999994</v>
      </c>
      <c r="U64">
        <v>78369.36</v>
      </c>
      <c r="V64">
        <v>110260.9</v>
      </c>
      <c r="W64">
        <v>117783.43</v>
      </c>
      <c r="X64">
        <v>116848.93</v>
      </c>
      <c r="Y64">
        <f t="shared" si="0"/>
        <v>2.1650466670123339E-2</v>
      </c>
    </row>
    <row r="65" spans="1:25" x14ac:dyDescent="0.2">
      <c r="A65" t="s">
        <v>486</v>
      </c>
      <c r="B65" t="s">
        <v>487</v>
      </c>
      <c r="C65" t="s">
        <v>488</v>
      </c>
      <c r="D65" t="s">
        <v>7</v>
      </c>
      <c r="E65">
        <v>12971.32</v>
      </c>
      <c r="F65">
        <v>16316.57</v>
      </c>
      <c r="G65">
        <v>19955.8</v>
      </c>
      <c r="H65">
        <v>24764.54</v>
      </c>
      <c r="I65">
        <v>25305.55</v>
      </c>
      <c r="J65">
        <v>27828.2</v>
      </c>
      <c r="K65">
        <v>35030.29</v>
      </c>
      <c r="L65">
        <v>38650.839999999997</v>
      </c>
      <c r="M65">
        <v>39909.660000000003</v>
      </c>
      <c r="N65">
        <v>44358.05</v>
      </c>
      <c r="O65">
        <v>50508.97</v>
      </c>
      <c r="P65">
        <v>55044.21</v>
      </c>
      <c r="Q65">
        <v>57804.51</v>
      </c>
      <c r="R65">
        <v>63804.84</v>
      </c>
      <c r="S65">
        <v>70421.919999999998</v>
      </c>
      <c r="T65">
        <v>70911.210000000006</v>
      </c>
      <c r="U65">
        <v>81286.11</v>
      </c>
      <c r="V65">
        <v>107622.32</v>
      </c>
      <c r="W65">
        <v>102616.42</v>
      </c>
      <c r="X65">
        <v>105470.33</v>
      </c>
      <c r="Y65">
        <f t="shared" si="0"/>
        <v>1.9542171796968186E-2</v>
      </c>
    </row>
    <row r="66" spans="1:25" x14ac:dyDescent="0.2">
      <c r="A66" t="s">
        <v>186</v>
      </c>
      <c r="B66" t="s">
        <v>187</v>
      </c>
      <c r="C66" t="s">
        <v>188</v>
      </c>
      <c r="D66" t="s">
        <v>7</v>
      </c>
      <c r="E66">
        <v>22678.6</v>
      </c>
      <c r="F66">
        <v>26011.119999999999</v>
      </c>
      <c r="G66">
        <v>30806.91</v>
      </c>
      <c r="H66">
        <v>30922.720000000001</v>
      </c>
      <c r="I66">
        <v>32067.96</v>
      </c>
      <c r="J66">
        <v>36480.92</v>
      </c>
      <c r="K66">
        <v>43917.93</v>
      </c>
      <c r="L66">
        <v>45448.160000000003</v>
      </c>
      <c r="M66">
        <v>49645.33</v>
      </c>
      <c r="N66">
        <v>52995.72</v>
      </c>
      <c r="O66">
        <v>56203.03</v>
      </c>
      <c r="P66">
        <v>61405.93</v>
      </c>
      <c r="Q66">
        <v>66510.259999999995</v>
      </c>
      <c r="R66">
        <v>70780.59</v>
      </c>
      <c r="S66">
        <v>74459.210000000006</v>
      </c>
      <c r="T66">
        <v>75122.42</v>
      </c>
      <c r="U66">
        <v>95761.14</v>
      </c>
      <c r="V66">
        <v>113882.54</v>
      </c>
      <c r="W66">
        <v>104580.68</v>
      </c>
      <c r="X66">
        <v>102212.6</v>
      </c>
      <c r="Y66">
        <f t="shared" si="0"/>
        <v>1.8938560152554663E-2</v>
      </c>
    </row>
    <row r="67" spans="1:25" x14ac:dyDescent="0.2">
      <c r="A67" t="s">
        <v>573</v>
      </c>
      <c r="B67" t="s">
        <v>574</v>
      </c>
      <c r="C67" t="s">
        <v>575</v>
      </c>
      <c r="D67" t="s">
        <v>7</v>
      </c>
      <c r="E67">
        <v>7873.12</v>
      </c>
      <c r="F67">
        <v>7819.44</v>
      </c>
      <c r="G67">
        <v>8914.32</v>
      </c>
      <c r="H67">
        <v>11891.88</v>
      </c>
      <c r="I67">
        <v>12706.95</v>
      </c>
      <c r="J67">
        <v>14874.05</v>
      </c>
      <c r="K67">
        <v>16857.59</v>
      </c>
      <c r="L67">
        <v>20198.93</v>
      </c>
      <c r="M67">
        <v>22842.07</v>
      </c>
      <c r="N67">
        <v>24837.02</v>
      </c>
      <c r="O67">
        <v>28860.19</v>
      </c>
      <c r="P67">
        <v>30189.8</v>
      </c>
      <c r="Q67">
        <v>32986.19</v>
      </c>
      <c r="R67">
        <v>38652.35</v>
      </c>
      <c r="S67">
        <v>43923.519999999997</v>
      </c>
      <c r="T67">
        <v>48303.53</v>
      </c>
      <c r="U67">
        <v>56757.14</v>
      </c>
      <c r="V67">
        <v>74949.47</v>
      </c>
      <c r="W67">
        <v>87081.78</v>
      </c>
      <c r="X67">
        <v>94857.88</v>
      </c>
      <c r="Y67">
        <f t="shared" ref="Y67:Y130" si="1">X67/$X$274</f>
        <v>1.757583376534607E-2</v>
      </c>
    </row>
    <row r="68" spans="1:25" x14ac:dyDescent="0.2">
      <c r="A68" t="s">
        <v>390</v>
      </c>
      <c r="B68" t="s">
        <v>391</v>
      </c>
      <c r="C68" t="s">
        <v>392</v>
      </c>
      <c r="D68" t="s">
        <v>7</v>
      </c>
      <c r="E68">
        <v>34027.17</v>
      </c>
      <c r="F68">
        <v>42080.27</v>
      </c>
      <c r="G68">
        <v>53421.48</v>
      </c>
      <c r="H68">
        <v>67132.06</v>
      </c>
      <c r="I68">
        <v>59640.57</v>
      </c>
      <c r="J68">
        <v>62709.61</v>
      </c>
      <c r="K68">
        <v>67707.64</v>
      </c>
      <c r="L68">
        <v>55545.8</v>
      </c>
      <c r="M68">
        <v>47191.97</v>
      </c>
      <c r="N68">
        <v>49513.93</v>
      </c>
      <c r="O68">
        <v>52912.07</v>
      </c>
      <c r="P68">
        <v>48885.22</v>
      </c>
      <c r="Q68">
        <v>50319.51</v>
      </c>
      <c r="R68">
        <v>55652.160000000003</v>
      </c>
      <c r="S68">
        <v>58078.04</v>
      </c>
      <c r="T68">
        <v>55956.5</v>
      </c>
      <c r="U68">
        <v>62707.89</v>
      </c>
      <c r="V68">
        <v>81334.820000000007</v>
      </c>
      <c r="W68">
        <v>81865.16</v>
      </c>
      <c r="X68">
        <v>76866.11</v>
      </c>
      <c r="Y68">
        <f t="shared" si="1"/>
        <v>1.4242211311794078E-2</v>
      </c>
    </row>
    <row r="69" spans="1:25" x14ac:dyDescent="0.2">
      <c r="A69" t="s">
        <v>513</v>
      </c>
      <c r="B69" t="s">
        <v>514</v>
      </c>
      <c r="C69" t="s">
        <v>515</v>
      </c>
      <c r="D69" t="s">
        <v>7</v>
      </c>
      <c r="E69">
        <v>12784.83</v>
      </c>
      <c r="F69">
        <v>14378.04</v>
      </c>
      <c r="G69">
        <v>17460.45</v>
      </c>
      <c r="H69">
        <v>18656.93</v>
      </c>
      <c r="I69">
        <v>17689.189999999999</v>
      </c>
      <c r="J69">
        <v>24824.37</v>
      </c>
      <c r="K69">
        <v>27856.06</v>
      </c>
      <c r="L69">
        <v>28990.65</v>
      </c>
      <c r="M69">
        <v>31382.13</v>
      </c>
      <c r="N69">
        <v>32104.799999999999</v>
      </c>
      <c r="O69">
        <v>32106.41</v>
      </c>
      <c r="P69">
        <v>33179.58</v>
      </c>
      <c r="Q69">
        <v>36879.129999999997</v>
      </c>
      <c r="R69">
        <v>38689.730000000003</v>
      </c>
      <c r="S69">
        <v>41840.03</v>
      </c>
      <c r="T69">
        <v>39861.769999999997</v>
      </c>
      <c r="U69">
        <v>51356.6</v>
      </c>
      <c r="V69">
        <v>64868.91</v>
      </c>
      <c r="W69">
        <v>69153.83</v>
      </c>
      <c r="X69">
        <v>68421.97</v>
      </c>
      <c r="Y69">
        <f t="shared" si="1"/>
        <v>1.2677630689379689E-2</v>
      </c>
    </row>
    <row r="70" spans="1:25" x14ac:dyDescent="0.2">
      <c r="A70" t="s">
        <v>393</v>
      </c>
      <c r="B70" t="s">
        <v>394</v>
      </c>
      <c r="C70" t="s">
        <v>395</v>
      </c>
      <c r="D70" t="s">
        <v>7</v>
      </c>
      <c r="E70">
        <v>11443.19</v>
      </c>
      <c r="F70">
        <v>15158.16</v>
      </c>
      <c r="G70">
        <v>17602.669999999998</v>
      </c>
      <c r="H70">
        <v>22215.27</v>
      </c>
      <c r="I70">
        <v>25891.34</v>
      </c>
      <c r="J70">
        <v>27751.86</v>
      </c>
      <c r="K70">
        <v>42703.45</v>
      </c>
      <c r="L70">
        <v>36325.06</v>
      </c>
      <c r="M70">
        <v>33005.14</v>
      </c>
      <c r="N70">
        <v>35067.21</v>
      </c>
      <c r="O70">
        <v>34126.82</v>
      </c>
      <c r="P70">
        <v>30495.16</v>
      </c>
      <c r="Q70">
        <v>36068.559999999998</v>
      </c>
      <c r="R70">
        <v>44441.440000000002</v>
      </c>
      <c r="S70">
        <v>45828.97</v>
      </c>
      <c r="T70">
        <v>46654.55</v>
      </c>
      <c r="U70">
        <v>51179.79</v>
      </c>
      <c r="V70">
        <v>57224.97</v>
      </c>
      <c r="W70">
        <v>66767.179999999993</v>
      </c>
      <c r="X70">
        <v>67767.59</v>
      </c>
      <c r="Y70">
        <f t="shared" si="1"/>
        <v>1.2556383260074215E-2</v>
      </c>
    </row>
    <row r="71" spans="1:25" x14ac:dyDescent="0.2">
      <c r="A71" t="s">
        <v>96</v>
      </c>
      <c r="B71" t="s">
        <v>97</v>
      </c>
      <c r="C71" t="s">
        <v>98</v>
      </c>
      <c r="D71" t="s">
        <v>7</v>
      </c>
      <c r="E71">
        <v>19278.599999999999</v>
      </c>
      <c r="F71">
        <v>21022.54</v>
      </c>
      <c r="G71">
        <v>22791.31</v>
      </c>
      <c r="H71">
        <v>22164.99</v>
      </c>
      <c r="I71">
        <v>23146.799999999999</v>
      </c>
      <c r="J71">
        <v>24181.200000000001</v>
      </c>
      <c r="K71">
        <v>30934.53</v>
      </c>
      <c r="L71">
        <v>33209.22</v>
      </c>
      <c r="M71">
        <v>32877.31</v>
      </c>
      <c r="N71">
        <v>30165.03</v>
      </c>
      <c r="O71">
        <v>28945.56</v>
      </c>
      <c r="P71">
        <v>32053.279999999999</v>
      </c>
      <c r="Q71">
        <v>34066.99</v>
      </c>
      <c r="R71">
        <v>36462.53</v>
      </c>
      <c r="S71">
        <v>38890.9</v>
      </c>
      <c r="T71">
        <v>42050.48</v>
      </c>
      <c r="U71">
        <v>46515.27</v>
      </c>
      <c r="V71">
        <v>59027.87</v>
      </c>
      <c r="W71">
        <v>63354.58</v>
      </c>
      <c r="X71">
        <v>64801.26</v>
      </c>
      <c r="Y71">
        <f t="shared" si="1"/>
        <v>1.200676394565185E-2</v>
      </c>
    </row>
    <row r="72" spans="1:25" x14ac:dyDescent="0.2">
      <c r="A72" t="s">
        <v>420</v>
      </c>
      <c r="B72" t="s">
        <v>421</v>
      </c>
      <c r="C72" t="s">
        <v>422</v>
      </c>
      <c r="D72" t="s">
        <v>7</v>
      </c>
      <c r="E72">
        <v>9923.5499999999993</v>
      </c>
      <c r="F72">
        <v>11941.38</v>
      </c>
      <c r="G72">
        <v>14258.17</v>
      </c>
      <c r="H72">
        <v>14220.55</v>
      </c>
      <c r="I72">
        <v>15274.48</v>
      </c>
      <c r="J72">
        <v>17799.349999999999</v>
      </c>
      <c r="K72">
        <v>19826.740000000002</v>
      </c>
      <c r="L72">
        <v>21045.05</v>
      </c>
      <c r="M72">
        <v>21893.43</v>
      </c>
      <c r="N72">
        <v>21770.45</v>
      </c>
      <c r="O72">
        <v>23335.35</v>
      </c>
      <c r="P72">
        <v>27011.83</v>
      </c>
      <c r="Q72">
        <v>29322.48</v>
      </c>
      <c r="R72">
        <v>32327.91</v>
      </c>
      <c r="S72">
        <v>33931.75</v>
      </c>
      <c r="T72">
        <v>36296.58</v>
      </c>
      <c r="U72">
        <v>46346.41</v>
      </c>
      <c r="V72">
        <v>55910.09</v>
      </c>
      <c r="W72">
        <v>60114.22</v>
      </c>
      <c r="X72">
        <v>62722.02</v>
      </c>
      <c r="Y72">
        <f t="shared" si="1"/>
        <v>1.1621509957282531E-2</v>
      </c>
    </row>
    <row r="73" spans="1:25" x14ac:dyDescent="0.2">
      <c r="A73" t="s">
        <v>87</v>
      </c>
      <c r="B73" t="s">
        <v>88</v>
      </c>
      <c r="C73" t="s">
        <v>89</v>
      </c>
      <c r="D73" t="s">
        <v>7</v>
      </c>
      <c r="E73">
        <v>18506.22</v>
      </c>
      <c r="F73">
        <v>18813.98</v>
      </c>
      <c r="G73">
        <v>21726.01</v>
      </c>
      <c r="H73">
        <v>20667.34</v>
      </c>
      <c r="I73">
        <v>21446.39</v>
      </c>
      <c r="J73">
        <v>24416.98</v>
      </c>
      <c r="K73">
        <v>27253.68</v>
      </c>
      <c r="L73">
        <v>27564.83</v>
      </c>
      <c r="M73">
        <v>31081</v>
      </c>
      <c r="N73">
        <v>31488.14</v>
      </c>
      <c r="O73">
        <v>28286.76</v>
      </c>
      <c r="P73">
        <v>29159.08</v>
      </c>
      <c r="Q73">
        <v>35315.42</v>
      </c>
      <c r="R73">
        <v>34992.89</v>
      </c>
      <c r="S73">
        <v>36483.050000000003</v>
      </c>
      <c r="T73">
        <v>37252.720000000001</v>
      </c>
      <c r="U73">
        <v>41783.949999999997</v>
      </c>
      <c r="V73">
        <v>61921.37</v>
      </c>
      <c r="W73">
        <v>55972.959999999999</v>
      </c>
      <c r="X73">
        <v>61279.78</v>
      </c>
      <c r="Y73">
        <f t="shared" si="1"/>
        <v>1.1354283128159504E-2</v>
      </c>
    </row>
    <row r="74" spans="1:25" x14ac:dyDescent="0.2">
      <c r="A74" t="s">
        <v>462</v>
      </c>
      <c r="B74" t="s">
        <v>463</v>
      </c>
      <c r="C74" t="s">
        <v>464</v>
      </c>
      <c r="D74" t="s">
        <v>7</v>
      </c>
      <c r="E74">
        <v>11113.78</v>
      </c>
      <c r="F74">
        <v>13074.13</v>
      </c>
      <c r="G74">
        <v>16732.11</v>
      </c>
      <c r="H74">
        <v>18642.57</v>
      </c>
      <c r="I74">
        <v>19442.18</v>
      </c>
      <c r="J74">
        <v>19978.099999999999</v>
      </c>
      <c r="K74">
        <v>23965.47</v>
      </c>
      <c r="L74">
        <v>28547.27</v>
      </c>
      <c r="M74">
        <v>30328.04</v>
      </c>
      <c r="N74">
        <v>30999.59</v>
      </c>
      <c r="O74">
        <v>32449.9</v>
      </c>
      <c r="P74">
        <v>36214.18</v>
      </c>
      <c r="Q74">
        <v>38613.120000000003</v>
      </c>
      <c r="R74">
        <v>41267.54</v>
      </c>
      <c r="S74">
        <v>44412.56</v>
      </c>
      <c r="T74">
        <v>46353.08</v>
      </c>
      <c r="U74">
        <v>52070.87</v>
      </c>
      <c r="V74">
        <v>62985.64</v>
      </c>
      <c r="W74">
        <v>57068.03</v>
      </c>
      <c r="X74">
        <v>57430.11</v>
      </c>
      <c r="Y74">
        <f t="shared" si="1"/>
        <v>1.064099331005014E-2</v>
      </c>
    </row>
    <row r="75" spans="1:25" x14ac:dyDescent="0.2">
      <c r="A75" t="s">
        <v>159</v>
      </c>
      <c r="B75" t="s">
        <v>160</v>
      </c>
      <c r="C75" t="s">
        <v>161</v>
      </c>
      <c r="D75" t="s">
        <v>7</v>
      </c>
      <c r="E75">
        <v>19013.939999999999</v>
      </c>
      <c r="F75">
        <v>22281.62</v>
      </c>
      <c r="G75">
        <v>23484.1</v>
      </c>
      <c r="H75">
        <v>24241.25</v>
      </c>
      <c r="I75">
        <v>21285.27</v>
      </c>
      <c r="J75">
        <v>26159.08</v>
      </c>
      <c r="K75">
        <v>33502.949999999997</v>
      </c>
      <c r="L75">
        <v>35184.269999999997</v>
      </c>
      <c r="M75">
        <v>33349.43</v>
      </c>
      <c r="N75">
        <v>32439.31</v>
      </c>
      <c r="O75">
        <v>33224.43</v>
      </c>
      <c r="P75">
        <v>33317.89</v>
      </c>
      <c r="Q75">
        <v>35795.78</v>
      </c>
      <c r="R75">
        <v>37423.589999999997</v>
      </c>
      <c r="S75">
        <v>38408.15</v>
      </c>
      <c r="T75">
        <v>36180.89</v>
      </c>
      <c r="U75">
        <v>54223.14</v>
      </c>
      <c r="V75">
        <v>80118.78</v>
      </c>
      <c r="W75">
        <v>54867.99</v>
      </c>
      <c r="X75">
        <v>52080.44</v>
      </c>
      <c r="Y75">
        <f t="shared" si="1"/>
        <v>9.6497745455209425E-3</v>
      </c>
    </row>
    <row r="76" spans="1:25" x14ac:dyDescent="0.2">
      <c r="A76" t="s">
        <v>366</v>
      </c>
      <c r="B76" t="s">
        <v>367</v>
      </c>
      <c r="C76" t="s">
        <v>368</v>
      </c>
      <c r="D76" t="s">
        <v>7</v>
      </c>
      <c r="E76">
        <v>13616.05</v>
      </c>
      <c r="F76">
        <v>13425.88</v>
      </c>
      <c r="G76">
        <v>13295.31</v>
      </c>
      <c r="H76" t="s">
        <v>11</v>
      </c>
      <c r="I76" t="s">
        <v>11</v>
      </c>
      <c r="J76" t="s">
        <v>11</v>
      </c>
      <c r="K76" t="s">
        <v>11</v>
      </c>
      <c r="L76" t="s">
        <v>11</v>
      </c>
      <c r="M76" t="s">
        <v>11</v>
      </c>
      <c r="N76">
        <v>17371.2</v>
      </c>
      <c r="O76">
        <v>18805.7</v>
      </c>
      <c r="P76">
        <v>19227.72</v>
      </c>
      <c r="Q76">
        <v>19184.740000000002</v>
      </c>
      <c r="R76">
        <v>20034.45</v>
      </c>
      <c r="S76">
        <v>20670.98</v>
      </c>
      <c r="T76">
        <v>21752.45</v>
      </c>
      <c r="U76">
        <v>26190.36</v>
      </c>
      <c r="V76">
        <v>38724.639999999999</v>
      </c>
      <c r="W76">
        <v>55659.59</v>
      </c>
      <c r="X76">
        <v>51237.47</v>
      </c>
      <c r="Y76">
        <f t="shared" si="1"/>
        <v>9.4935840362119234E-3</v>
      </c>
    </row>
    <row r="77" spans="1:25" x14ac:dyDescent="0.2">
      <c r="A77" t="s">
        <v>333</v>
      </c>
      <c r="B77" t="s">
        <v>334</v>
      </c>
      <c r="C77" t="s">
        <v>335</v>
      </c>
      <c r="D77" t="s">
        <v>7</v>
      </c>
      <c r="E77">
        <v>19991.939999999999</v>
      </c>
      <c r="F77">
        <v>21782.22</v>
      </c>
      <c r="G77">
        <v>23936.03</v>
      </c>
      <c r="H77">
        <v>23802.86</v>
      </c>
      <c r="I77">
        <v>24350.98</v>
      </c>
      <c r="J77">
        <v>22864.99</v>
      </c>
      <c r="K77">
        <v>26634.3</v>
      </c>
      <c r="L77">
        <v>25334.31</v>
      </c>
      <c r="M77">
        <v>27080.25</v>
      </c>
      <c r="N77">
        <v>31764.66</v>
      </c>
      <c r="O77">
        <v>34515.31</v>
      </c>
      <c r="P77">
        <v>37783.53</v>
      </c>
      <c r="Q77">
        <v>39411.07</v>
      </c>
      <c r="R77">
        <v>40385.54</v>
      </c>
      <c r="S77">
        <v>42075.42</v>
      </c>
      <c r="T77">
        <v>41814.910000000003</v>
      </c>
      <c r="U77">
        <v>50893.79</v>
      </c>
      <c r="V77">
        <v>55493.05</v>
      </c>
      <c r="W77">
        <v>52485.57</v>
      </c>
      <c r="X77">
        <v>50227.37</v>
      </c>
      <c r="Y77">
        <f t="shared" si="1"/>
        <v>9.3064266836928068E-3</v>
      </c>
    </row>
    <row r="78" spans="1:25" x14ac:dyDescent="0.2">
      <c r="A78" t="s">
        <v>228</v>
      </c>
      <c r="B78" t="s">
        <v>229</v>
      </c>
      <c r="C78" t="s">
        <v>230</v>
      </c>
      <c r="D78" t="s">
        <v>7</v>
      </c>
      <c r="E78">
        <v>9975.56</v>
      </c>
      <c r="F78">
        <v>12012.22</v>
      </c>
      <c r="G78">
        <v>15635.1</v>
      </c>
      <c r="H78">
        <v>17198.16</v>
      </c>
      <c r="I78">
        <v>15130.17</v>
      </c>
      <c r="J78">
        <v>16686.88</v>
      </c>
      <c r="K78">
        <v>21403.7</v>
      </c>
      <c r="L78">
        <v>22289.71</v>
      </c>
      <c r="M78">
        <v>22385.77</v>
      </c>
      <c r="N78">
        <v>24653.42</v>
      </c>
      <c r="O78">
        <v>25138.87</v>
      </c>
      <c r="P78">
        <v>26624.22</v>
      </c>
      <c r="Q78">
        <v>28662.95</v>
      </c>
      <c r="R78">
        <v>30528.400000000001</v>
      </c>
      <c r="S78">
        <v>32820.43</v>
      </c>
      <c r="T78">
        <v>32262.26</v>
      </c>
      <c r="U78">
        <v>41522.29</v>
      </c>
      <c r="V78">
        <v>54111.46</v>
      </c>
      <c r="W78">
        <v>52790.77</v>
      </c>
      <c r="X78">
        <v>49221.87</v>
      </c>
      <c r="Y78">
        <f t="shared" si="1"/>
        <v>9.1201216466093773E-3</v>
      </c>
    </row>
    <row r="79" spans="1:25" x14ac:dyDescent="0.2">
      <c r="A79" t="s">
        <v>456</v>
      </c>
      <c r="B79" t="s">
        <v>457</v>
      </c>
      <c r="C79" t="s">
        <v>458</v>
      </c>
      <c r="D79" t="s">
        <v>7</v>
      </c>
      <c r="E79">
        <v>24121.06</v>
      </c>
      <c r="F79">
        <v>26157.51</v>
      </c>
      <c r="G79">
        <v>28946.05</v>
      </c>
      <c r="H79">
        <v>31175.86</v>
      </c>
      <c r="I79">
        <v>25369.94</v>
      </c>
      <c r="J79">
        <v>38976.14</v>
      </c>
      <c r="K79">
        <v>50143.62</v>
      </c>
      <c r="L79">
        <v>36710.129999999997</v>
      </c>
      <c r="M79">
        <v>34540.480000000003</v>
      </c>
      <c r="N79">
        <v>31895.33</v>
      </c>
      <c r="O79">
        <v>29131.19</v>
      </c>
      <c r="P79">
        <v>29088.13</v>
      </c>
      <c r="Q79">
        <v>32209.71</v>
      </c>
      <c r="R79">
        <v>36599.64</v>
      </c>
      <c r="S79">
        <v>37055.949999999997</v>
      </c>
      <c r="T79">
        <v>28707.71</v>
      </c>
      <c r="U79">
        <v>38469.03</v>
      </c>
      <c r="V79">
        <v>57943.53</v>
      </c>
      <c r="W79">
        <v>50034.18</v>
      </c>
      <c r="X79">
        <v>49219.199999999997</v>
      </c>
      <c r="Y79">
        <f t="shared" si="1"/>
        <v>9.1196269330847506E-3</v>
      </c>
    </row>
    <row r="80" spans="1:25" x14ac:dyDescent="0.2">
      <c r="A80" t="s">
        <v>429</v>
      </c>
      <c r="B80" t="s">
        <v>430</v>
      </c>
      <c r="C80" t="s">
        <v>431</v>
      </c>
      <c r="D80" t="s">
        <v>7</v>
      </c>
      <c r="E80">
        <v>4900.1899999999996</v>
      </c>
      <c r="F80">
        <v>5407.38</v>
      </c>
      <c r="G80">
        <v>6758.15</v>
      </c>
      <c r="H80">
        <v>7770.39</v>
      </c>
      <c r="I80">
        <v>8365.19</v>
      </c>
      <c r="J80">
        <v>9148.7000000000007</v>
      </c>
      <c r="K80">
        <v>14585.84</v>
      </c>
      <c r="L80">
        <v>20877.41</v>
      </c>
      <c r="M80">
        <v>24964.03</v>
      </c>
      <c r="N80">
        <v>23478.81</v>
      </c>
      <c r="O80">
        <v>22681.119999999999</v>
      </c>
      <c r="P80">
        <v>23620.9</v>
      </c>
      <c r="Q80">
        <v>23997.98</v>
      </c>
      <c r="R80">
        <v>24041.43</v>
      </c>
      <c r="S80">
        <v>25730.66</v>
      </c>
      <c r="T80">
        <v>27648.89</v>
      </c>
      <c r="U80">
        <v>36179.57</v>
      </c>
      <c r="V80">
        <v>48020.79</v>
      </c>
      <c r="W80">
        <v>45976.959999999999</v>
      </c>
      <c r="X80">
        <v>48135.22</v>
      </c>
      <c r="Y80">
        <f t="shared" si="1"/>
        <v>8.9187806535246349E-3</v>
      </c>
    </row>
    <row r="81" spans="1:25" x14ac:dyDescent="0.2">
      <c r="A81" t="s">
        <v>441</v>
      </c>
      <c r="B81" t="s">
        <v>442</v>
      </c>
      <c r="C81" t="s">
        <v>443</v>
      </c>
      <c r="D81" t="s">
        <v>7</v>
      </c>
      <c r="E81">
        <v>12146.96</v>
      </c>
      <c r="F81">
        <v>15146.54</v>
      </c>
      <c r="G81">
        <v>18060.52</v>
      </c>
      <c r="H81">
        <v>19793.759999999998</v>
      </c>
      <c r="I81">
        <v>19011.04</v>
      </c>
      <c r="J81">
        <v>20891.36</v>
      </c>
      <c r="K81">
        <v>23321.759999999998</v>
      </c>
      <c r="L81">
        <v>24796.34</v>
      </c>
      <c r="M81">
        <v>25537.31</v>
      </c>
      <c r="N81">
        <v>25526.639999999999</v>
      </c>
      <c r="O81">
        <v>27182.3</v>
      </c>
      <c r="P81">
        <v>24998.99</v>
      </c>
      <c r="Q81">
        <v>28403.16</v>
      </c>
      <c r="R81">
        <v>34960.080000000002</v>
      </c>
      <c r="S81">
        <v>36450.839999999997</v>
      </c>
      <c r="T81">
        <v>34779.269999999997</v>
      </c>
      <c r="U81">
        <v>42839.81</v>
      </c>
      <c r="V81">
        <v>52578.53</v>
      </c>
      <c r="W81">
        <v>48963.19</v>
      </c>
      <c r="X81">
        <v>46924.44</v>
      </c>
      <c r="Y81">
        <f t="shared" si="1"/>
        <v>8.6944401136938316E-3</v>
      </c>
    </row>
    <row r="82" spans="1:25" x14ac:dyDescent="0.2">
      <c r="A82" t="s">
        <v>102</v>
      </c>
      <c r="B82" t="s">
        <v>103</v>
      </c>
      <c r="C82" t="s">
        <v>104</v>
      </c>
      <c r="D82" t="s">
        <v>7</v>
      </c>
      <c r="E82">
        <v>21912.65</v>
      </c>
      <c r="F82">
        <v>22961.46</v>
      </c>
      <c r="G82">
        <v>26707.279999999999</v>
      </c>
      <c r="H82">
        <v>28907.57</v>
      </c>
      <c r="I82">
        <v>30535.99</v>
      </c>
      <c r="J82">
        <v>27820.9</v>
      </c>
      <c r="K82">
        <v>29670.36</v>
      </c>
      <c r="L82">
        <v>30506.1</v>
      </c>
      <c r="M82">
        <v>31934.880000000001</v>
      </c>
      <c r="N82">
        <v>29797.84</v>
      </c>
      <c r="O82">
        <v>31542.59</v>
      </c>
      <c r="P82">
        <v>30604.49</v>
      </c>
      <c r="Q82">
        <v>30253.52</v>
      </c>
      <c r="R82">
        <v>32122.04</v>
      </c>
      <c r="S82">
        <v>34115.78</v>
      </c>
      <c r="T82">
        <v>33561.43</v>
      </c>
      <c r="U82">
        <v>37340.410000000003</v>
      </c>
      <c r="V82">
        <v>42509.47</v>
      </c>
      <c r="W82">
        <v>45518.44</v>
      </c>
      <c r="X82">
        <v>46775.24</v>
      </c>
      <c r="Y82">
        <f t="shared" si="1"/>
        <v>8.6667954478232712E-3</v>
      </c>
    </row>
    <row r="83" spans="1:25" x14ac:dyDescent="0.2">
      <c r="A83" t="s">
        <v>438</v>
      </c>
      <c r="B83" t="s">
        <v>439</v>
      </c>
      <c r="C83" t="s">
        <v>440</v>
      </c>
      <c r="D83" t="s">
        <v>7</v>
      </c>
      <c r="E83">
        <v>4941.3999999999996</v>
      </c>
      <c r="F83">
        <v>6117.76</v>
      </c>
      <c r="G83">
        <v>7799.21</v>
      </c>
      <c r="H83">
        <v>7693.67</v>
      </c>
      <c r="I83">
        <v>6791.62</v>
      </c>
      <c r="J83">
        <v>11195.2</v>
      </c>
      <c r="K83">
        <v>19424.53</v>
      </c>
      <c r="L83">
        <v>21914.6</v>
      </c>
      <c r="M83">
        <v>23681.96</v>
      </c>
      <c r="N83">
        <v>26790.47</v>
      </c>
      <c r="O83">
        <v>27365.3</v>
      </c>
      <c r="P83">
        <v>28724.89</v>
      </c>
      <c r="Q83">
        <v>31278.78</v>
      </c>
      <c r="R83">
        <v>33186.69</v>
      </c>
      <c r="S83">
        <v>36967.379999999997</v>
      </c>
      <c r="T83">
        <v>44416.32</v>
      </c>
      <c r="U83">
        <v>42946.73</v>
      </c>
      <c r="V83">
        <v>51153.89</v>
      </c>
      <c r="W83">
        <v>49182.69</v>
      </c>
      <c r="X83">
        <v>45501.08</v>
      </c>
      <c r="Y83">
        <f t="shared" si="1"/>
        <v>8.4307114835764068E-3</v>
      </c>
    </row>
    <row r="84" spans="1:25" x14ac:dyDescent="0.2">
      <c r="A84" t="s">
        <v>591</v>
      </c>
      <c r="B84" t="s">
        <v>592</v>
      </c>
      <c r="C84" t="s">
        <v>593</v>
      </c>
      <c r="D84" t="s">
        <v>7</v>
      </c>
      <c r="E84">
        <v>6558.1</v>
      </c>
      <c r="F84">
        <v>6055.21</v>
      </c>
      <c r="G84">
        <v>6547.4</v>
      </c>
      <c r="H84">
        <v>7603.18</v>
      </c>
      <c r="I84">
        <v>8406.84</v>
      </c>
      <c r="J84">
        <v>12056.16</v>
      </c>
      <c r="K84">
        <v>11531.99</v>
      </c>
      <c r="L84">
        <v>13018.26</v>
      </c>
      <c r="M84">
        <v>12437.09</v>
      </c>
      <c r="N84">
        <v>13708.2</v>
      </c>
      <c r="O84">
        <v>12230.51</v>
      </c>
      <c r="P84">
        <v>14137.62</v>
      </c>
      <c r="Q84">
        <v>14155.49</v>
      </c>
      <c r="R84">
        <v>15596.71</v>
      </c>
      <c r="S84">
        <v>17884.28</v>
      </c>
      <c r="T84">
        <v>16354.9</v>
      </c>
      <c r="U84">
        <v>18928.740000000002</v>
      </c>
      <c r="V84">
        <v>28933.59</v>
      </c>
      <c r="W84">
        <v>32657.09</v>
      </c>
      <c r="X84">
        <v>45058.080000000002</v>
      </c>
      <c r="Y84">
        <f t="shared" si="1"/>
        <v>8.3486298014004163E-3</v>
      </c>
    </row>
    <row r="85" spans="1:25" x14ac:dyDescent="0.2">
      <c r="A85" t="s">
        <v>144</v>
      </c>
      <c r="B85" t="s">
        <v>145</v>
      </c>
      <c r="C85" t="s">
        <v>146</v>
      </c>
      <c r="D85" t="s">
        <v>7</v>
      </c>
      <c r="E85">
        <v>11949.46</v>
      </c>
      <c r="F85">
        <v>12435.14</v>
      </c>
      <c r="G85">
        <v>14174.95</v>
      </c>
      <c r="H85">
        <v>11872.95</v>
      </c>
      <c r="I85">
        <v>12460.34</v>
      </c>
      <c r="J85">
        <v>14793.55</v>
      </c>
      <c r="K85">
        <v>17393.36</v>
      </c>
      <c r="L85">
        <v>18047.189999999999</v>
      </c>
      <c r="M85">
        <v>19733.25</v>
      </c>
      <c r="N85">
        <v>21089.62</v>
      </c>
      <c r="O85">
        <v>22483.49</v>
      </c>
      <c r="P85">
        <v>23772.57</v>
      </c>
      <c r="Q85">
        <v>25079.13</v>
      </c>
      <c r="R85">
        <v>28108.080000000002</v>
      </c>
      <c r="S85">
        <v>29226.3</v>
      </c>
      <c r="T85">
        <v>29777.49</v>
      </c>
      <c r="U85">
        <v>36268.21</v>
      </c>
      <c r="V85">
        <v>47102.58</v>
      </c>
      <c r="W85">
        <v>42166.61</v>
      </c>
      <c r="X85">
        <v>41822.19</v>
      </c>
      <c r="Y85">
        <f t="shared" si="1"/>
        <v>7.7490648024467635E-3</v>
      </c>
    </row>
    <row r="86" spans="1:25" x14ac:dyDescent="0.2">
      <c r="A86" t="s">
        <v>363</v>
      </c>
      <c r="B86" t="s">
        <v>364</v>
      </c>
      <c r="C86" t="s">
        <v>365</v>
      </c>
      <c r="D86" t="s">
        <v>7</v>
      </c>
      <c r="E86">
        <v>17782.009999999998</v>
      </c>
      <c r="F86">
        <v>21772.15</v>
      </c>
      <c r="G86">
        <v>22295.58</v>
      </c>
      <c r="H86" t="s">
        <v>11</v>
      </c>
      <c r="I86" t="s">
        <v>11</v>
      </c>
      <c r="J86" t="s">
        <v>11</v>
      </c>
      <c r="K86" t="s">
        <v>11</v>
      </c>
      <c r="L86" t="s">
        <v>11</v>
      </c>
      <c r="M86" t="s">
        <v>11</v>
      </c>
      <c r="N86">
        <v>34697.21</v>
      </c>
      <c r="O86">
        <v>37343.24</v>
      </c>
      <c r="P86">
        <v>34730.01</v>
      </c>
      <c r="Q86">
        <v>40492.769999999997</v>
      </c>
      <c r="R86">
        <v>42188.59</v>
      </c>
      <c r="S86">
        <v>46805.68</v>
      </c>
      <c r="T86">
        <v>38131.85</v>
      </c>
      <c r="U86">
        <v>60140.31</v>
      </c>
      <c r="V86">
        <v>140014.29999999999</v>
      </c>
      <c r="W86">
        <v>62160.35</v>
      </c>
      <c r="X86">
        <v>40413.08</v>
      </c>
      <c r="Y86">
        <f t="shared" si="1"/>
        <v>7.4879764973203276E-3</v>
      </c>
    </row>
    <row r="87" spans="1:25" x14ac:dyDescent="0.2">
      <c r="A87" t="s">
        <v>249</v>
      </c>
      <c r="B87" t="s">
        <v>250</v>
      </c>
      <c r="C87" t="s">
        <v>251</v>
      </c>
      <c r="D87" t="s">
        <v>7</v>
      </c>
      <c r="E87">
        <v>10230.299999999999</v>
      </c>
      <c r="F87">
        <v>12148.9</v>
      </c>
      <c r="G87">
        <v>14177.11</v>
      </c>
      <c r="H87">
        <v>14852.9</v>
      </c>
      <c r="I87">
        <v>15137.54</v>
      </c>
      <c r="J87">
        <v>16487.45</v>
      </c>
      <c r="K87">
        <v>19565.240000000002</v>
      </c>
      <c r="L87">
        <v>20600.79</v>
      </c>
      <c r="M87">
        <v>20748.830000000002</v>
      </c>
      <c r="N87">
        <v>21859.29</v>
      </c>
      <c r="O87">
        <v>22371.13</v>
      </c>
      <c r="P87">
        <v>22850.36</v>
      </c>
      <c r="Q87">
        <v>25431.5</v>
      </c>
      <c r="R87">
        <v>27576.76</v>
      </c>
      <c r="S87">
        <v>28245.040000000001</v>
      </c>
      <c r="T87">
        <v>27865.43</v>
      </c>
      <c r="U87">
        <v>36574.660000000003</v>
      </c>
      <c r="V87">
        <v>45609.599999999999</v>
      </c>
      <c r="W87">
        <v>41607.760000000002</v>
      </c>
      <c r="X87">
        <v>39851.620000000003</v>
      </c>
      <c r="Y87">
        <f t="shared" si="1"/>
        <v>7.3839458398157407E-3</v>
      </c>
    </row>
    <row r="88" spans="1:25" x14ac:dyDescent="0.2">
      <c r="A88" t="s">
        <v>474</v>
      </c>
      <c r="B88" t="s">
        <v>475</v>
      </c>
      <c r="C88" t="s">
        <v>476</v>
      </c>
      <c r="D88" t="s">
        <v>7</v>
      </c>
      <c r="E88">
        <v>4141.8900000000003</v>
      </c>
      <c r="F88">
        <v>6122.7</v>
      </c>
      <c r="G88">
        <v>6667.09</v>
      </c>
      <c r="H88">
        <v>5978.5</v>
      </c>
      <c r="I88">
        <v>5641.87</v>
      </c>
      <c r="J88">
        <v>4995.7299999999996</v>
      </c>
      <c r="K88">
        <v>5754.86</v>
      </c>
      <c r="L88">
        <v>6801.29</v>
      </c>
      <c r="M88">
        <v>7660.37</v>
      </c>
      <c r="N88">
        <v>7669.46</v>
      </c>
      <c r="O88">
        <v>8029.9</v>
      </c>
      <c r="P88">
        <v>8645.57</v>
      </c>
      <c r="Q88">
        <v>10525.06</v>
      </c>
      <c r="R88">
        <v>12543.86</v>
      </c>
      <c r="S88">
        <v>14134.67</v>
      </c>
      <c r="T88">
        <v>18518.259999999998</v>
      </c>
      <c r="U88">
        <v>23342.94</v>
      </c>
      <c r="V88">
        <v>26608.880000000001</v>
      </c>
      <c r="W88">
        <v>34298.769999999997</v>
      </c>
      <c r="X88">
        <v>38103.769999999997</v>
      </c>
      <c r="Y88">
        <f t="shared" si="1"/>
        <v>7.0600937671491349E-3</v>
      </c>
    </row>
    <row r="89" spans="1:25" x14ac:dyDescent="0.2">
      <c r="A89" t="s">
        <v>213</v>
      </c>
      <c r="B89" t="s">
        <v>214</v>
      </c>
      <c r="C89" t="s">
        <v>215</v>
      </c>
      <c r="D89" t="s">
        <v>7</v>
      </c>
      <c r="E89">
        <v>17204.57</v>
      </c>
      <c r="F89">
        <v>21127.919999999998</v>
      </c>
      <c r="G89">
        <v>25531.41</v>
      </c>
      <c r="H89">
        <v>27707.65</v>
      </c>
      <c r="I89">
        <v>13804.56</v>
      </c>
      <c r="J89">
        <v>21808.92</v>
      </c>
      <c r="K89">
        <v>26714.79</v>
      </c>
      <c r="L89">
        <v>26428.9</v>
      </c>
      <c r="M89">
        <v>23318.6</v>
      </c>
      <c r="N89">
        <v>23519.279999999999</v>
      </c>
      <c r="O89">
        <v>22423.71</v>
      </c>
      <c r="P89">
        <v>20735.68</v>
      </c>
      <c r="Q89">
        <v>28240.01</v>
      </c>
      <c r="R89">
        <v>30950.33</v>
      </c>
      <c r="S89">
        <v>27685.31</v>
      </c>
      <c r="T89">
        <v>24779.040000000001</v>
      </c>
      <c r="U89">
        <v>45095.8</v>
      </c>
      <c r="V89">
        <v>58252.63</v>
      </c>
      <c r="W89">
        <v>37404.76</v>
      </c>
      <c r="X89">
        <v>35875.050000000003</v>
      </c>
      <c r="Y89">
        <f t="shared" si="1"/>
        <v>6.6471432328392595E-3</v>
      </c>
    </row>
    <row r="90" spans="1:25" x14ac:dyDescent="0.2">
      <c r="A90" t="s">
        <v>99</v>
      </c>
      <c r="B90" t="s">
        <v>100</v>
      </c>
      <c r="C90" t="s">
        <v>101</v>
      </c>
      <c r="D90" t="s">
        <v>7</v>
      </c>
      <c r="E90">
        <v>6882.27</v>
      </c>
      <c r="F90">
        <v>7390.71</v>
      </c>
      <c r="G90">
        <v>8406.07</v>
      </c>
      <c r="H90">
        <v>8977.84</v>
      </c>
      <c r="I90">
        <v>8749.02</v>
      </c>
      <c r="J90">
        <v>12148.01</v>
      </c>
      <c r="K90">
        <v>14457.03</v>
      </c>
      <c r="L90">
        <v>16772.61</v>
      </c>
      <c r="M90">
        <v>16756.63</v>
      </c>
      <c r="N90">
        <v>17095.45</v>
      </c>
      <c r="O90">
        <v>17890.68</v>
      </c>
      <c r="P90">
        <v>19089.36</v>
      </c>
      <c r="Q90">
        <v>19988.150000000001</v>
      </c>
      <c r="R90">
        <v>18958.43</v>
      </c>
      <c r="S90">
        <v>19859.57</v>
      </c>
      <c r="T90">
        <v>21538.95</v>
      </c>
      <c r="U90">
        <v>25555.29</v>
      </c>
      <c r="V90">
        <v>37317.26</v>
      </c>
      <c r="W90">
        <v>35220.589999999997</v>
      </c>
      <c r="X90">
        <v>33983.919999999998</v>
      </c>
      <c r="Y90">
        <f t="shared" si="1"/>
        <v>6.2967433872106312E-3</v>
      </c>
    </row>
    <row r="91" spans="1:25" x14ac:dyDescent="0.2">
      <c r="A91" t="s">
        <v>288</v>
      </c>
      <c r="B91" t="s">
        <v>289</v>
      </c>
      <c r="C91" t="s">
        <v>290</v>
      </c>
      <c r="D91" t="s">
        <v>7</v>
      </c>
      <c r="E91">
        <v>8181.28</v>
      </c>
      <c r="F91">
        <v>10329.700000000001</v>
      </c>
      <c r="G91">
        <v>14550.58</v>
      </c>
      <c r="H91">
        <v>16342.69</v>
      </c>
      <c r="I91">
        <v>19386.330000000002</v>
      </c>
      <c r="J91">
        <v>21661.02</v>
      </c>
      <c r="K91">
        <v>17254.41</v>
      </c>
      <c r="L91">
        <v>18853.47</v>
      </c>
      <c r="M91">
        <v>20704.509999999998</v>
      </c>
      <c r="N91">
        <v>19970.11</v>
      </c>
      <c r="O91">
        <v>22345.63</v>
      </c>
      <c r="P91">
        <v>23485.3</v>
      </c>
      <c r="Q91">
        <v>23600.44</v>
      </c>
      <c r="R91">
        <v>25625.48</v>
      </c>
      <c r="S91">
        <v>27094.639999999999</v>
      </c>
      <c r="T91">
        <v>28898.28</v>
      </c>
      <c r="U91">
        <v>36423</v>
      </c>
      <c r="V91">
        <v>39839.980000000003</v>
      </c>
      <c r="W91">
        <v>36152.93</v>
      </c>
      <c r="X91">
        <v>33663.86</v>
      </c>
      <c r="Y91">
        <f t="shared" si="1"/>
        <v>6.2374407614832102E-3</v>
      </c>
    </row>
    <row r="92" spans="1:25" x14ac:dyDescent="0.2">
      <c r="A92" t="s">
        <v>750</v>
      </c>
      <c r="B92" t="s">
        <v>751</v>
      </c>
      <c r="C92" t="s">
        <v>752</v>
      </c>
      <c r="D92" t="s">
        <v>7</v>
      </c>
      <c r="E92">
        <v>1012.9</v>
      </c>
      <c r="F92">
        <v>1104.82</v>
      </c>
      <c r="G92">
        <v>1384.33</v>
      </c>
      <c r="H92">
        <v>2034.01</v>
      </c>
      <c r="I92">
        <v>3023.29</v>
      </c>
      <c r="J92">
        <v>3844.13</v>
      </c>
      <c r="K92">
        <v>5362.48</v>
      </c>
      <c r="L92">
        <v>6159.85</v>
      </c>
      <c r="M92">
        <v>7301.52</v>
      </c>
      <c r="N92">
        <v>9467.92</v>
      </c>
      <c r="O92">
        <v>10711.37</v>
      </c>
      <c r="P92">
        <v>11635.15</v>
      </c>
      <c r="Q92">
        <v>12132.7</v>
      </c>
      <c r="R92">
        <v>13490.9</v>
      </c>
      <c r="S92">
        <v>14979.18</v>
      </c>
      <c r="T92">
        <v>15335.95</v>
      </c>
      <c r="U92">
        <v>19868.12</v>
      </c>
      <c r="V92">
        <v>22494.33</v>
      </c>
      <c r="W92">
        <v>27799.85</v>
      </c>
      <c r="X92">
        <v>33352.75</v>
      </c>
      <c r="Y92">
        <f t="shared" si="1"/>
        <v>6.1797964451360933E-3</v>
      </c>
    </row>
    <row r="93" spans="1:25" x14ac:dyDescent="0.2">
      <c r="A93" t="s">
        <v>576</v>
      </c>
      <c r="B93" t="s">
        <v>577</v>
      </c>
      <c r="C93" t="s">
        <v>578</v>
      </c>
      <c r="D93" t="s">
        <v>7</v>
      </c>
      <c r="E93">
        <v>890.21</v>
      </c>
      <c r="F93">
        <v>1130.6500000000001</v>
      </c>
      <c r="G93">
        <v>1444.14</v>
      </c>
      <c r="H93">
        <v>2142.3000000000002</v>
      </c>
      <c r="I93">
        <v>2205.14</v>
      </c>
      <c r="J93">
        <v>2637.03</v>
      </c>
      <c r="K93">
        <v>4660.58</v>
      </c>
      <c r="L93">
        <v>4507.92</v>
      </c>
      <c r="M93">
        <v>4539.5</v>
      </c>
      <c r="N93">
        <v>4715.75</v>
      </c>
      <c r="O93">
        <v>5960.51</v>
      </c>
      <c r="P93">
        <v>7279.8</v>
      </c>
      <c r="Q93">
        <v>7826.71</v>
      </c>
      <c r="R93">
        <v>8922.82</v>
      </c>
      <c r="S93">
        <v>10636.51</v>
      </c>
      <c r="T93">
        <v>12970.43</v>
      </c>
      <c r="U93">
        <v>16852.099999999999</v>
      </c>
      <c r="V93">
        <v>22292.68</v>
      </c>
      <c r="W93">
        <v>26721.77</v>
      </c>
      <c r="X93">
        <v>32443.14</v>
      </c>
      <c r="Y93">
        <f t="shared" si="1"/>
        <v>6.0112584791674629E-3</v>
      </c>
    </row>
    <row r="94" spans="1:25" x14ac:dyDescent="0.2">
      <c r="A94" t="s">
        <v>138</v>
      </c>
      <c r="B94" t="s">
        <v>139</v>
      </c>
      <c r="C94" t="s">
        <v>140</v>
      </c>
      <c r="D94" t="s">
        <v>7</v>
      </c>
      <c r="E94">
        <v>12302.05</v>
      </c>
      <c r="F94">
        <v>13534.89</v>
      </c>
      <c r="G94">
        <v>16598.27</v>
      </c>
      <c r="H94">
        <v>16290.62</v>
      </c>
      <c r="I94">
        <v>15064.02</v>
      </c>
      <c r="J94">
        <v>16387.71</v>
      </c>
      <c r="K94">
        <v>17765.53</v>
      </c>
      <c r="L94">
        <v>18086.599999999999</v>
      </c>
      <c r="M94">
        <v>19559.61</v>
      </c>
      <c r="N94">
        <v>21204.880000000001</v>
      </c>
      <c r="O94">
        <v>22036.32</v>
      </c>
      <c r="P94">
        <v>22916.9</v>
      </c>
      <c r="Q94">
        <v>23682.37</v>
      </c>
      <c r="R94">
        <v>24438.06</v>
      </c>
      <c r="S94">
        <v>25083.96</v>
      </c>
      <c r="T94">
        <v>24753.38</v>
      </c>
      <c r="U94">
        <v>33798.449999999997</v>
      </c>
      <c r="V94">
        <v>43280.88</v>
      </c>
      <c r="W94">
        <v>34750.79</v>
      </c>
      <c r="X94">
        <v>32352.32</v>
      </c>
      <c r="Y94">
        <f t="shared" si="1"/>
        <v>5.9944308078915629E-3</v>
      </c>
    </row>
    <row r="95" spans="1:25" x14ac:dyDescent="0.2">
      <c r="A95" t="s">
        <v>426</v>
      </c>
      <c r="B95" t="s">
        <v>427</v>
      </c>
      <c r="C95" t="s">
        <v>428</v>
      </c>
      <c r="D95" t="s">
        <v>7</v>
      </c>
      <c r="E95">
        <v>6793.42</v>
      </c>
      <c r="F95">
        <v>6786.9</v>
      </c>
      <c r="G95">
        <v>8287.11</v>
      </c>
      <c r="H95">
        <v>10264.450000000001</v>
      </c>
      <c r="I95">
        <v>9684.4500000000007</v>
      </c>
      <c r="J95">
        <v>10273.540000000001</v>
      </c>
      <c r="K95">
        <v>12091.57</v>
      </c>
      <c r="L95">
        <v>11246.73</v>
      </c>
      <c r="M95">
        <v>11207.66</v>
      </c>
      <c r="N95">
        <v>12435.26</v>
      </c>
      <c r="O95">
        <v>15695.88</v>
      </c>
      <c r="P95">
        <v>16752.37</v>
      </c>
      <c r="Q95">
        <v>17673.419999999998</v>
      </c>
      <c r="R95">
        <v>19806.82</v>
      </c>
      <c r="S95">
        <v>21407.66</v>
      </c>
      <c r="T95">
        <v>21149.72</v>
      </c>
      <c r="U95">
        <v>26635.439999999999</v>
      </c>
      <c r="V95">
        <v>33058.51</v>
      </c>
      <c r="W95">
        <v>32783.870000000003</v>
      </c>
      <c r="X95">
        <v>32119.48</v>
      </c>
      <c r="Y95">
        <f t="shared" si="1"/>
        <v>5.9512888239686337E-3</v>
      </c>
    </row>
    <row r="96" spans="1:25" x14ac:dyDescent="0.2">
      <c r="A96" t="s">
        <v>81</v>
      </c>
      <c r="B96" t="s">
        <v>82</v>
      </c>
      <c r="C96" t="s">
        <v>83</v>
      </c>
      <c r="D96" t="s">
        <v>7</v>
      </c>
      <c r="E96">
        <v>10165.56</v>
      </c>
      <c r="F96">
        <v>11439.3</v>
      </c>
      <c r="G96">
        <v>13182.27</v>
      </c>
      <c r="H96">
        <v>11978.83</v>
      </c>
      <c r="I96">
        <v>12059.14</v>
      </c>
      <c r="J96">
        <v>12081.83</v>
      </c>
      <c r="K96">
        <v>14603.73</v>
      </c>
      <c r="L96">
        <v>15507.93</v>
      </c>
      <c r="M96">
        <v>15962.17</v>
      </c>
      <c r="N96">
        <v>15736.37</v>
      </c>
      <c r="O96">
        <v>17026</v>
      </c>
      <c r="P96">
        <v>18611.71</v>
      </c>
      <c r="Q96">
        <v>19459.72</v>
      </c>
      <c r="R96">
        <v>19319.87</v>
      </c>
      <c r="S96">
        <v>20359.77</v>
      </c>
      <c r="T96">
        <v>20528.330000000002</v>
      </c>
      <c r="U96">
        <v>23977.54</v>
      </c>
      <c r="V96">
        <v>29548.560000000001</v>
      </c>
      <c r="W96">
        <v>29835.87</v>
      </c>
      <c r="X96">
        <v>31891.55</v>
      </c>
      <c r="Y96">
        <f t="shared" si="1"/>
        <v>5.9090565941303181E-3</v>
      </c>
    </row>
    <row r="97" spans="1:25" x14ac:dyDescent="0.2">
      <c r="A97" t="s">
        <v>243</v>
      </c>
      <c r="B97" t="s">
        <v>244</v>
      </c>
      <c r="C97" t="s">
        <v>245</v>
      </c>
      <c r="D97" t="s">
        <v>7</v>
      </c>
      <c r="E97">
        <v>3931.51</v>
      </c>
      <c r="F97">
        <v>5202.96</v>
      </c>
      <c r="G97">
        <v>6910.52</v>
      </c>
      <c r="H97">
        <v>8060.72</v>
      </c>
      <c r="I97">
        <v>7419.08</v>
      </c>
      <c r="J97">
        <v>9046.7900000000009</v>
      </c>
      <c r="K97">
        <v>11680.39</v>
      </c>
      <c r="L97">
        <v>12739.44</v>
      </c>
      <c r="M97">
        <v>11307.2</v>
      </c>
      <c r="N97">
        <v>12241.94</v>
      </c>
      <c r="O97">
        <v>13417.53</v>
      </c>
      <c r="P97">
        <v>14043.06</v>
      </c>
      <c r="Q97">
        <v>15812.95</v>
      </c>
      <c r="R97">
        <v>18449.080000000002</v>
      </c>
      <c r="S97">
        <v>19019.57</v>
      </c>
      <c r="T97">
        <v>19396.5</v>
      </c>
      <c r="U97">
        <v>24632.32</v>
      </c>
      <c r="V97">
        <v>38624.32</v>
      </c>
      <c r="W97">
        <v>34503</v>
      </c>
      <c r="X97">
        <v>31686.94</v>
      </c>
      <c r="Y97">
        <f t="shared" si="1"/>
        <v>5.8711452329790097E-3</v>
      </c>
    </row>
    <row r="98" spans="1:25" x14ac:dyDescent="0.2">
      <c r="A98" t="s">
        <v>387</v>
      </c>
      <c r="B98" t="s">
        <v>388</v>
      </c>
      <c r="C98" t="s">
        <v>389</v>
      </c>
      <c r="D98" t="s">
        <v>7</v>
      </c>
      <c r="E98">
        <v>2855.89</v>
      </c>
      <c r="F98">
        <v>3624.27</v>
      </c>
      <c r="G98">
        <v>4718.07</v>
      </c>
      <c r="H98">
        <v>5407.1</v>
      </c>
      <c r="I98">
        <v>4940.63</v>
      </c>
      <c r="J98">
        <v>5332.22</v>
      </c>
      <c r="K98">
        <v>7750.02</v>
      </c>
      <c r="L98">
        <v>8414.18</v>
      </c>
      <c r="M98">
        <v>7374.8</v>
      </c>
      <c r="N98">
        <v>9764.9699999999993</v>
      </c>
      <c r="O98">
        <v>10331.1</v>
      </c>
      <c r="P98">
        <v>11661.52</v>
      </c>
      <c r="Q98">
        <v>13404.78</v>
      </c>
      <c r="R98">
        <v>14039.99</v>
      </c>
      <c r="S98">
        <v>17113.88</v>
      </c>
      <c r="T98">
        <v>16865.310000000001</v>
      </c>
      <c r="U98">
        <v>20815.25</v>
      </c>
      <c r="V98">
        <v>26946.639999999999</v>
      </c>
      <c r="W98">
        <v>28311.9</v>
      </c>
      <c r="X98">
        <v>30894.9</v>
      </c>
      <c r="Y98">
        <f t="shared" si="1"/>
        <v>5.7243913378307665E-3</v>
      </c>
    </row>
    <row r="99" spans="1:25" x14ac:dyDescent="0.2">
      <c r="A99" t="s">
        <v>618</v>
      </c>
      <c r="B99" t="s">
        <v>619</v>
      </c>
      <c r="C99" t="s">
        <v>620</v>
      </c>
      <c r="D99" t="s">
        <v>7</v>
      </c>
      <c r="E99">
        <v>15928.65</v>
      </c>
      <c r="F99">
        <v>16121.54</v>
      </c>
      <c r="G99">
        <v>17197.41</v>
      </c>
      <c r="H99">
        <v>18635.2</v>
      </c>
      <c r="I99">
        <v>19372.490000000002</v>
      </c>
      <c r="J99">
        <v>19424.46</v>
      </c>
      <c r="K99">
        <v>20632.689999999999</v>
      </c>
      <c r="L99">
        <v>20187.32</v>
      </c>
      <c r="M99">
        <v>19805.080000000002</v>
      </c>
      <c r="N99">
        <v>20897.310000000001</v>
      </c>
      <c r="O99">
        <v>20260.52</v>
      </c>
      <c r="P99">
        <v>20309.04</v>
      </c>
      <c r="Q99">
        <v>20526.5</v>
      </c>
      <c r="R99">
        <v>20914.990000000002</v>
      </c>
      <c r="S99">
        <v>21122.12</v>
      </c>
      <c r="T99">
        <v>21624.32</v>
      </c>
      <c r="U99">
        <v>23491.27</v>
      </c>
      <c r="V99">
        <v>24680.21</v>
      </c>
      <c r="W99">
        <v>29087.57</v>
      </c>
      <c r="X99">
        <v>30791.48</v>
      </c>
      <c r="Y99">
        <f t="shared" si="1"/>
        <v>5.7052290634049402E-3</v>
      </c>
    </row>
    <row r="100" spans="1:25" x14ac:dyDescent="0.2">
      <c r="A100" t="s">
        <v>564</v>
      </c>
      <c r="B100" t="s">
        <v>565</v>
      </c>
      <c r="C100" t="s">
        <v>566</v>
      </c>
      <c r="D100" t="s">
        <v>7</v>
      </c>
      <c r="E100">
        <v>13207.65</v>
      </c>
      <c r="F100">
        <v>15162.04</v>
      </c>
      <c r="G100">
        <v>16617.580000000002</v>
      </c>
      <c r="H100">
        <v>18439.099999999999</v>
      </c>
      <c r="I100">
        <v>18618.7</v>
      </c>
      <c r="J100">
        <v>18952.59</v>
      </c>
      <c r="K100">
        <v>26496.67</v>
      </c>
      <c r="L100">
        <v>27485.09</v>
      </c>
      <c r="M100">
        <v>26281.39</v>
      </c>
      <c r="N100">
        <v>19732.78</v>
      </c>
      <c r="O100">
        <v>21600.34</v>
      </c>
      <c r="P100">
        <v>22873.599999999999</v>
      </c>
      <c r="Q100">
        <v>23987.15</v>
      </c>
      <c r="R100">
        <v>24458.73</v>
      </c>
      <c r="S100">
        <v>24312.81</v>
      </c>
      <c r="T100">
        <v>24713.22</v>
      </c>
      <c r="U100">
        <v>24982.77</v>
      </c>
      <c r="V100">
        <v>26859.15</v>
      </c>
      <c r="W100">
        <v>28417.96</v>
      </c>
      <c r="X100">
        <v>30245.72</v>
      </c>
      <c r="Y100">
        <f t="shared" si="1"/>
        <v>5.6041073955395478E-3</v>
      </c>
    </row>
    <row r="101" spans="1:25" x14ac:dyDescent="0.2">
      <c r="A101" t="s">
        <v>630</v>
      </c>
      <c r="B101" t="s">
        <v>631</v>
      </c>
      <c r="C101" t="s">
        <v>632</v>
      </c>
      <c r="D101" t="s">
        <v>7</v>
      </c>
      <c r="E101">
        <v>2728.91</v>
      </c>
      <c r="F101" t="s">
        <v>11</v>
      </c>
      <c r="G101" t="s">
        <v>11</v>
      </c>
      <c r="H101" t="s">
        <v>11</v>
      </c>
      <c r="I101" t="s">
        <v>11</v>
      </c>
      <c r="J101">
        <v>5850.08</v>
      </c>
      <c r="K101" t="s">
        <v>11</v>
      </c>
      <c r="L101">
        <v>7198.43</v>
      </c>
      <c r="M101">
        <v>8004.92</v>
      </c>
      <c r="N101">
        <v>8293.4500000000007</v>
      </c>
      <c r="O101" t="s">
        <v>11</v>
      </c>
      <c r="P101">
        <v>10529.97</v>
      </c>
      <c r="Q101">
        <v>11726.34</v>
      </c>
      <c r="R101">
        <v>14174.77</v>
      </c>
      <c r="S101">
        <v>15366.65</v>
      </c>
      <c r="T101">
        <v>15405.56</v>
      </c>
      <c r="U101">
        <v>19150.419999999998</v>
      </c>
      <c r="V101">
        <v>22442.68</v>
      </c>
      <c r="W101">
        <v>25735.99</v>
      </c>
      <c r="X101">
        <v>29181.32</v>
      </c>
      <c r="Y101">
        <f t="shared" si="1"/>
        <v>5.4068890151600327E-3</v>
      </c>
    </row>
    <row r="102" spans="1:25" x14ac:dyDescent="0.2">
      <c r="A102" t="s">
        <v>405</v>
      </c>
      <c r="B102" t="s">
        <v>406</v>
      </c>
      <c r="C102" t="s">
        <v>407</v>
      </c>
      <c r="D102" t="s">
        <v>7</v>
      </c>
      <c r="E102">
        <v>8918.89</v>
      </c>
      <c r="F102">
        <v>10540.35</v>
      </c>
      <c r="G102">
        <v>14141.46</v>
      </c>
      <c r="H102">
        <v>14665.05</v>
      </c>
      <c r="I102">
        <v>14027.29</v>
      </c>
      <c r="J102">
        <v>13361.27</v>
      </c>
      <c r="K102">
        <v>15348.98</v>
      </c>
      <c r="L102">
        <v>15359.06</v>
      </c>
      <c r="M102">
        <v>14197.98</v>
      </c>
      <c r="N102">
        <v>15720.81</v>
      </c>
      <c r="O102">
        <v>17348.82</v>
      </c>
      <c r="P102">
        <v>15248.83</v>
      </c>
      <c r="Q102">
        <v>15952.41</v>
      </c>
      <c r="R102">
        <v>18946.53</v>
      </c>
      <c r="S102">
        <v>19435.16</v>
      </c>
      <c r="T102">
        <v>19403.89</v>
      </c>
      <c r="U102">
        <v>22137.03</v>
      </c>
      <c r="V102">
        <v>26941.42</v>
      </c>
      <c r="W102">
        <v>31493.599999999999</v>
      </c>
      <c r="X102">
        <v>29030.48</v>
      </c>
      <c r="Y102">
        <f t="shared" si="1"/>
        <v>5.3789404803080542E-3</v>
      </c>
    </row>
    <row r="103" spans="1:25" x14ac:dyDescent="0.2">
      <c r="A103" t="s">
        <v>354</v>
      </c>
      <c r="B103" t="s">
        <v>355</v>
      </c>
      <c r="C103" t="s">
        <v>356</v>
      </c>
      <c r="D103" t="s">
        <v>7</v>
      </c>
      <c r="E103">
        <v>6921.11</v>
      </c>
      <c r="F103">
        <v>7392.79</v>
      </c>
      <c r="G103">
        <v>9357.86</v>
      </c>
      <c r="H103">
        <v>10530.83</v>
      </c>
      <c r="I103">
        <v>9227.33</v>
      </c>
      <c r="J103">
        <v>10403.11</v>
      </c>
      <c r="K103">
        <v>11760.17</v>
      </c>
      <c r="L103">
        <v>12487.37</v>
      </c>
      <c r="M103">
        <v>12928.38</v>
      </c>
      <c r="N103">
        <v>14970.35</v>
      </c>
      <c r="O103">
        <v>16162.12</v>
      </c>
      <c r="P103">
        <v>15286.75</v>
      </c>
      <c r="Q103">
        <v>16283.43</v>
      </c>
      <c r="R103">
        <v>17001.52</v>
      </c>
      <c r="S103">
        <v>16743.32</v>
      </c>
      <c r="T103">
        <v>17042.490000000002</v>
      </c>
      <c r="U103">
        <v>19078.490000000002</v>
      </c>
      <c r="V103">
        <v>24870.400000000001</v>
      </c>
      <c r="W103">
        <v>28684.53</v>
      </c>
      <c r="X103">
        <v>28777.98</v>
      </c>
      <c r="Y103">
        <f t="shared" si="1"/>
        <v>5.3321557743273816E-3</v>
      </c>
    </row>
    <row r="104" spans="1:25" x14ac:dyDescent="0.2">
      <c r="A104" t="s">
        <v>510</v>
      </c>
      <c r="B104" t="s">
        <v>511</v>
      </c>
      <c r="C104" t="s">
        <v>512</v>
      </c>
      <c r="D104" t="s">
        <v>7</v>
      </c>
      <c r="E104">
        <v>985.23</v>
      </c>
      <c r="F104">
        <v>967.61</v>
      </c>
      <c r="G104">
        <v>1323.97</v>
      </c>
      <c r="H104">
        <v>1884.67</v>
      </c>
      <c r="I104">
        <v>2553.6</v>
      </c>
      <c r="J104">
        <v>3131.87</v>
      </c>
      <c r="K104">
        <v>3296.81</v>
      </c>
      <c r="L104">
        <v>3458.16</v>
      </c>
      <c r="M104">
        <v>4518.75</v>
      </c>
      <c r="N104">
        <v>5350.58</v>
      </c>
      <c r="O104">
        <v>5520.23</v>
      </c>
      <c r="P104">
        <v>11558.33</v>
      </c>
      <c r="Q104">
        <v>13291.77</v>
      </c>
      <c r="R104">
        <v>13684.87</v>
      </c>
      <c r="S104">
        <v>15809.26</v>
      </c>
      <c r="T104">
        <v>15980.28</v>
      </c>
      <c r="U104">
        <v>24043.01</v>
      </c>
      <c r="V104">
        <v>22708.02</v>
      </c>
      <c r="W104">
        <v>22730.71</v>
      </c>
      <c r="X104">
        <v>28582.720000000001</v>
      </c>
      <c r="Y104">
        <f t="shared" si="1"/>
        <v>5.2959768369420911E-3</v>
      </c>
    </row>
    <row r="105" spans="1:25" x14ac:dyDescent="0.2">
      <c r="A105" t="s">
        <v>645</v>
      </c>
      <c r="B105" t="s">
        <v>646</v>
      </c>
      <c r="C105" t="s">
        <v>647</v>
      </c>
      <c r="D105" t="s">
        <v>7</v>
      </c>
      <c r="E105">
        <v>14261.67</v>
      </c>
      <c r="F105">
        <v>14379.19</v>
      </c>
      <c r="G105">
        <v>16096.9</v>
      </c>
      <c r="H105">
        <v>13810.47</v>
      </c>
      <c r="I105">
        <v>13461.94</v>
      </c>
      <c r="J105">
        <v>15031.11</v>
      </c>
      <c r="K105">
        <v>15093.06</v>
      </c>
      <c r="L105">
        <v>16354.42</v>
      </c>
      <c r="M105">
        <v>16060.06</v>
      </c>
      <c r="N105">
        <v>15665.77</v>
      </c>
      <c r="O105">
        <v>15960.95</v>
      </c>
      <c r="P105">
        <v>17286.009999999998</v>
      </c>
      <c r="Q105">
        <v>17850.830000000002</v>
      </c>
      <c r="R105">
        <v>19341.93</v>
      </c>
      <c r="S105">
        <v>18595.86</v>
      </c>
      <c r="T105">
        <v>18068.52</v>
      </c>
      <c r="U105">
        <v>20124.490000000002</v>
      </c>
      <c r="V105">
        <v>22221.02</v>
      </c>
      <c r="W105">
        <v>25636.32</v>
      </c>
      <c r="X105">
        <v>27690.99</v>
      </c>
      <c r="Y105">
        <f t="shared" si="1"/>
        <v>5.1307517840147848E-3</v>
      </c>
    </row>
    <row r="106" spans="1:25" x14ac:dyDescent="0.2">
      <c r="A106" t="s">
        <v>93</v>
      </c>
      <c r="B106" t="s">
        <v>94</v>
      </c>
      <c r="C106" t="s">
        <v>95</v>
      </c>
      <c r="D106" t="s">
        <v>7</v>
      </c>
      <c r="E106">
        <v>5359.64</v>
      </c>
      <c r="F106">
        <v>6168.69</v>
      </c>
      <c r="G106">
        <v>7122.71</v>
      </c>
      <c r="H106">
        <v>7606.11</v>
      </c>
      <c r="I106">
        <v>8286.94</v>
      </c>
      <c r="J106">
        <v>8847.84</v>
      </c>
      <c r="K106">
        <v>10139.69</v>
      </c>
      <c r="L106">
        <v>12041.12</v>
      </c>
      <c r="M106">
        <v>12458.76</v>
      </c>
      <c r="N106">
        <v>13270.83</v>
      </c>
      <c r="O106">
        <v>13830.36</v>
      </c>
      <c r="P106">
        <v>13916.6</v>
      </c>
      <c r="Q106">
        <v>14450.53</v>
      </c>
      <c r="R106">
        <v>15115.17</v>
      </c>
      <c r="S106">
        <v>15995.24</v>
      </c>
      <c r="T106">
        <v>15509.78</v>
      </c>
      <c r="U106">
        <v>17186.34</v>
      </c>
      <c r="V106">
        <v>23279.119999999999</v>
      </c>
      <c r="W106">
        <v>25697.81</v>
      </c>
      <c r="X106">
        <v>27480.23</v>
      </c>
      <c r="Y106">
        <f t="shared" si="1"/>
        <v>5.0917009141831547E-3</v>
      </c>
    </row>
    <row r="107" spans="1:25" x14ac:dyDescent="0.2">
      <c r="A107" t="s">
        <v>603</v>
      </c>
      <c r="B107" t="s">
        <v>604</v>
      </c>
      <c r="C107" t="s">
        <v>605</v>
      </c>
      <c r="D107" t="s">
        <v>7</v>
      </c>
      <c r="E107">
        <v>7738.8</v>
      </c>
      <c r="F107">
        <v>8614.35</v>
      </c>
      <c r="G107">
        <v>11417.84</v>
      </c>
      <c r="H107">
        <v>12428.57</v>
      </c>
      <c r="I107">
        <v>16678.8</v>
      </c>
      <c r="J107">
        <v>15371.09</v>
      </c>
      <c r="K107">
        <v>22314.13</v>
      </c>
      <c r="L107">
        <v>21347.599999999999</v>
      </c>
      <c r="M107">
        <v>26683.91</v>
      </c>
      <c r="N107">
        <v>28133.89</v>
      </c>
      <c r="O107">
        <v>22100.22</v>
      </c>
      <c r="P107">
        <v>23442.34</v>
      </c>
      <c r="Q107">
        <v>20573.060000000001</v>
      </c>
      <c r="R107">
        <v>19563.21</v>
      </c>
      <c r="S107">
        <v>19832.11</v>
      </c>
      <c r="T107">
        <v>16297.02</v>
      </c>
      <c r="U107">
        <v>19965.77</v>
      </c>
      <c r="V107">
        <v>26809.62</v>
      </c>
      <c r="W107">
        <v>23887.01</v>
      </c>
      <c r="X107">
        <v>27282.54</v>
      </c>
      <c r="Y107">
        <f t="shared" si="1"/>
        <v>5.055071731904664E-3</v>
      </c>
    </row>
    <row r="108" spans="1:25" x14ac:dyDescent="0.2">
      <c r="A108" t="s">
        <v>180</v>
      </c>
      <c r="B108" t="s">
        <v>181</v>
      </c>
      <c r="C108" t="s">
        <v>182</v>
      </c>
      <c r="D108" t="s">
        <v>7</v>
      </c>
      <c r="E108">
        <v>8173.33</v>
      </c>
      <c r="F108">
        <v>8734.52</v>
      </c>
      <c r="G108">
        <v>9230.2199999999993</v>
      </c>
      <c r="H108">
        <v>10812.66</v>
      </c>
      <c r="I108">
        <v>13088.57</v>
      </c>
      <c r="J108">
        <v>14957.49</v>
      </c>
      <c r="K108">
        <v>12111.55</v>
      </c>
      <c r="L108">
        <v>13358.79</v>
      </c>
      <c r="M108">
        <v>14572.59</v>
      </c>
      <c r="N108">
        <v>14756.2</v>
      </c>
      <c r="O108">
        <v>16294.39</v>
      </c>
      <c r="P108">
        <v>16515.36</v>
      </c>
      <c r="Q108">
        <v>17190.669999999998</v>
      </c>
      <c r="R108">
        <v>14478.72</v>
      </c>
      <c r="S108">
        <v>14936.77</v>
      </c>
      <c r="T108">
        <v>16143.57</v>
      </c>
      <c r="U108">
        <v>17408.75</v>
      </c>
      <c r="V108">
        <v>23210.560000000001</v>
      </c>
      <c r="W108" t="s">
        <v>11</v>
      </c>
      <c r="X108">
        <v>25479.439999999999</v>
      </c>
      <c r="Y108">
        <f t="shared" si="1"/>
        <v>4.720982609711594E-3</v>
      </c>
    </row>
    <row r="109" spans="1:25" x14ac:dyDescent="0.2">
      <c r="A109" t="s">
        <v>204</v>
      </c>
      <c r="B109" t="s">
        <v>205</v>
      </c>
      <c r="C109" t="s">
        <v>206</v>
      </c>
      <c r="D109" t="s">
        <v>7</v>
      </c>
      <c r="E109">
        <v>7118.54</v>
      </c>
      <c r="F109">
        <v>8327.1200000000008</v>
      </c>
      <c r="G109">
        <v>11700.18</v>
      </c>
      <c r="H109">
        <v>12514.21</v>
      </c>
      <c r="I109">
        <v>10877.98</v>
      </c>
      <c r="J109">
        <v>12082.6</v>
      </c>
      <c r="K109">
        <v>14742.94</v>
      </c>
      <c r="L109">
        <v>13972.67</v>
      </c>
      <c r="M109">
        <v>13007.78</v>
      </c>
      <c r="N109">
        <v>14295.57</v>
      </c>
      <c r="O109">
        <v>14239.4</v>
      </c>
      <c r="P109">
        <v>14238.33</v>
      </c>
      <c r="Q109">
        <v>15668.18</v>
      </c>
      <c r="R109">
        <v>18770.16</v>
      </c>
      <c r="S109">
        <v>19689.78</v>
      </c>
      <c r="T109">
        <v>18659.43</v>
      </c>
      <c r="U109">
        <v>21784.09</v>
      </c>
      <c r="V109">
        <v>26227.85</v>
      </c>
      <c r="W109">
        <v>23087.4</v>
      </c>
      <c r="X109">
        <v>25084.67</v>
      </c>
      <c r="Y109">
        <f t="shared" si="1"/>
        <v>4.6478372695928222E-3</v>
      </c>
    </row>
    <row r="110" spans="1:25" x14ac:dyDescent="0.2">
      <c r="A110" t="s">
        <v>183</v>
      </c>
      <c r="B110" t="s">
        <v>184</v>
      </c>
      <c r="C110" t="s">
        <v>185</v>
      </c>
      <c r="D110" t="s">
        <v>7</v>
      </c>
      <c r="E110">
        <v>8040.94</v>
      </c>
      <c r="F110">
        <v>9421.07</v>
      </c>
      <c r="G110">
        <v>10971.1</v>
      </c>
      <c r="H110">
        <v>10931.82</v>
      </c>
      <c r="I110">
        <v>11295.21</v>
      </c>
      <c r="J110">
        <v>13221.01</v>
      </c>
      <c r="K110">
        <v>16433.759999999998</v>
      </c>
      <c r="L110">
        <v>16381.65</v>
      </c>
      <c r="M110">
        <v>17037.62</v>
      </c>
      <c r="N110">
        <v>17643.060000000001</v>
      </c>
      <c r="O110">
        <v>17843.349999999999</v>
      </c>
      <c r="P110">
        <v>19006.099999999999</v>
      </c>
      <c r="Q110">
        <v>20870.41</v>
      </c>
      <c r="R110">
        <v>20988.09</v>
      </c>
      <c r="S110">
        <v>21215.63</v>
      </c>
      <c r="T110">
        <v>18892.21</v>
      </c>
      <c r="U110">
        <v>22692.91</v>
      </c>
      <c r="V110">
        <v>28208.46</v>
      </c>
      <c r="W110">
        <v>27999.97</v>
      </c>
      <c r="X110">
        <v>24334.39</v>
      </c>
      <c r="Y110">
        <f t="shared" si="1"/>
        <v>4.5088209163129068E-3</v>
      </c>
    </row>
    <row r="111" spans="1:25" x14ac:dyDescent="0.2">
      <c r="A111" t="s">
        <v>276</v>
      </c>
      <c r="B111" t="s">
        <v>277</v>
      </c>
      <c r="C111" t="s">
        <v>278</v>
      </c>
      <c r="D111" t="s">
        <v>7</v>
      </c>
      <c r="E111">
        <v>5072.47</v>
      </c>
      <c r="F111">
        <v>5960.21</v>
      </c>
      <c r="G111">
        <v>6868.63</v>
      </c>
      <c r="H111">
        <v>7706.14</v>
      </c>
      <c r="I111">
        <v>7333.2</v>
      </c>
      <c r="J111">
        <v>8154.11</v>
      </c>
      <c r="K111">
        <v>10361.93</v>
      </c>
      <c r="L111">
        <v>10779.68</v>
      </c>
      <c r="M111">
        <v>11072.71</v>
      </c>
      <c r="N111">
        <v>11304.58</v>
      </c>
      <c r="O111">
        <v>12422.86</v>
      </c>
      <c r="P111">
        <v>12776.87</v>
      </c>
      <c r="Q111">
        <v>12648.95</v>
      </c>
      <c r="R111">
        <v>14459.35</v>
      </c>
      <c r="S111">
        <v>15489.31</v>
      </c>
      <c r="T111">
        <v>15521.76</v>
      </c>
      <c r="U111">
        <v>17752.18</v>
      </c>
      <c r="V111">
        <v>22836.13</v>
      </c>
      <c r="W111">
        <v>26584.78</v>
      </c>
      <c r="X111">
        <v>24136.41</v>
      </c>
      <c r="Y111">
        <f t="shared" si="1"/>
        <v>4.4721380011047739E-3</v>
      </c>
    </row>
    <row r="112" spans="1:25" x14ac:dyDescent="0.2">
      <c r="A112" t="s">
        <v>639</v>
      </c>
      <c r="B112" t="s">
        <v>640</v>
      </c>
      <c r="C112" t="s">
        <v>641</v>
      </c>
      <c r="D112" t="s">
        <v>7</v>
      </c>
      <c r="E112">
        <v>4796.6899999999996</v>
      </c>
      <c r="F112">
        <v>4970.24</v>
      </c>
      <c r="G112">
        <v>5324.28</v>
      </c>
      <c r="H112">
        <v>5888.75</v>
      </c>
      <c r="I112">
        <v>6322.86</v>
      </c>
      <c r="J112">
        <v>6924.09</v>
      </c>
      <c r="K112">
        <v>7212.62</v>
      </c>
      <c r="L112">
        <v>7854.63</v>
      </c>
      <c r="M112">
        <v>8614.7099999999991</v>
      </c>
      <c r="N112">
        <v>8308.76</v>
      </c>
      <c r="O112">
        <v>8787.4500000000007</v>
      </c>
      <c r="P112">
        <v>9117.9699999999993</v>
      </c>
      <c r="Q112">
        <v>10142.24</v>
      </c>
      <c r="R112">
        <v>10929.04</v>
      </c>
      <c r="S112">
        <v>12457.61</v>
      </c>
      <c r="T112">
        <v>12797.18</v>
      </c>
      <c r="U112">
        <v>14541.83</v>
      </c>
      <c r="V112">
        <v>16924.330000000002</v>
      </c>
      <c r="W112">
        <v>21443.77</v>
      </c>
      <c r="X112">
        <v>24024.87</v>
      </c>
      <c r="Y112">
        <f t="shared" si="1"/>
        <v>4.451471204648995E-3</v>
      </c>
    </row>
    <row r="113" spans="1:25" x14ac:dyDescent="0.2">
      <c r="A113" t="s">
        <v>168</v>
      </c>
      <c r="B113" t="s">
        <v>169</v>
      </c>
      <c r="C113" t="s">
        <v>170</v>
      </c>
      <c r="D113" t="s">
        <v>7</v>
      </c>
      <c r="E113">
        <v>8056.54</v>
      </c>
      <c r="F113">
        <v>8356.5</v>
      </c>
      <c r="G113">
        <v>9088.02</v>
      </c>
      <c r="H113">
        <v>10171.200000000001</v>
      </c>
      <c r="I113">
        <v>11780.95</v>
      </c>
      <c r="J113">
        <v>13102.98</v>
      </c>
      <c r="K113">
        <v>12926.15</v>
      </c>
      <c r="L113">
        <v>13967</v>
      </c>
      <c r="M113">
        <v>14518.73</v>
      </c>
      <c r="N113">
        <v>15336.45</v>
      </c>
      <c r="O113">
        <v>15604.21</v>
      </c>
      <c r="P113">
        <v>14686.14</v>
      </c>
      <c r="Q113">
        <v>13932.65</v>
      </c>
      <c r="R113">
        <v>14483.74</v>
      </c>
      <c r="S113">
        <v>14200.91</v>
      </c>
      <c r="T113">
        <v>15124.17</v>
      </c>
      <c r="U113">
        <v>15290.42</v>
      </c>
      <c r="V113">
        <v>19000.04</v>
      </c>
      <c r="W113">
        <v>23066.13</v>
      </c>
      <c r="X113">
        <v>23658.04</v>
      </c>
      <c r="Y113">
        <f t="shared" si="1"/>
        <v>4.3835027543722037E-3</v>
      </c>
    </row>
    <row r="114" spans="1:25" x14ac:dyDescent="0.2">
      <c r="A114" t="s">
        <v>615</v>
      </c>
      <c r="B114" t="s">
        <v>616</v>
      </c>
      <c r="C114" t="s">
        <v>617</v>
      </c>
      <c r="D114" t="s">
        <v>7</v>
      </c>
      <c r="E114">
        <v>3803.88</v>
      </c>
      <c r="F114">
        <v>3647.46</v>
      </c>
      <c r="G114">
        <v>3510.94</v>
      </c>
      <c r="H114">
        <v>4475.51</v>
      </c>
      <c r="I114">
        <v>4539.6499999999996</v>
      </c>
      <c r="J114">
        <v>6376.47</v>
      </c>
      <c r="K114">
        <v>8369.6200000000008</v>
      </c>
      <c r="L114">
        <v>10574.61</v>
      </c>
      <c r="M114">
        <v>10215.700000000001</v>
      </c>
      <c r="N114">
        <v>10763.13</v>
      </c>
      <c r="O114">
        <v>11054.94</v>
      </c>
      <c r="P114">
        <v>11679.14</v>
      </c>
      <c r="Q114">
        <v>12157.9</v>
      </c>
      <c r="R114">
        <v>12401.82</v>
      </c>
      <c r="S114">
        <v>12643.39</v>
      </c>
      <c r="T114">
        <v>13490.74</v>
      </c>
      <c r="U114">
        <v>14863.37</v>
      </c>
      <c r="V114">
        <v>15655.22</v>
      </c>
      <c r="W114">
        <v>20962.509999999998</v>
      </c>
      <c r="X114">
        <v>23440.47</v>
      </c>
      <c r="Y114">
        <f t="shared" si="1"/>
        <v>4.3431900871238275E-3</v>
      </c>
    </row>
    <row r="115" spans="1:25" x14ac:dyDescent="0.2">
      <c r="A115" t="s">
        <v>687</v>
      </c>
      <c r="B115" t="s">
        <v>688</v>
      </c>
      <c r="C115" t="s">
        <v>689</v>
      </c>
      <c r="D115" t="s">
        <v>7</v>
      </c>
      <c r="E115">
        <v>1339.02</v>
      </c>
      <c r="F115">
        <v>1844.4</v>
      </c>
      <c r="G115">
        <v>2692.89</v>
      </c>
      <c r="H115">
        <v>3828.32</v>
      </c>
      <c r="I115">
        <v>3399.79</v>
      </c>
      <c r="J115">
        <v>3870.09</v>
      </c>
      <c r="K115">
        <v>4682.3900000000003</v>
      </c>
      <c r="L115">
        <v>4632.97</v>
      </c>
      <c r="M115">
        <v>5414.58</v>
      </c>
      <c r="N115">
        <v>6023.57</v>
      </c>
      <c r="O115">
        <v>6395.2</v>
      </c>
      <c r="P115">
        <v>6802.89</v>
      </c>
      <c r="Q115">
        <v>7202.56</v>
      </c>
      <c r="R115">
        <v>10149.14</v>
      </c>
      <c r="S115">
        <v>10320.14</v>
      </c>
      <c r="T115">
        <v>2841.2</v>
      </c>
      <c r="U115">
        <v>6847.94</v>
      </c>
      <c r="V115">
        <v>11683.76</v>
      </c>
      <c r="W115">
        <v>17221.98</v>
      </c>
      <c r="X115">
        <v>22955.46</v>
      </c>
      <c r="Y115">
        <f t="shared" si="1"/>
        <v>4.2533245415884383E-3</v>
      </c>
    </row>
    <row r="116" spans="1:25" x14ac:dyDescent="0.2">
      <c r="A116" t="s">
        <v>105</v>
      </c>
      <c r="B116" t="s">
        <v>106</v>
      </c>
      <c r="C116" t="s">
        <v>107</v>
      </c>
      <c r="D116" t="s">
        <v>7</v>
      </c>
      <c r="E116">
        <v>14188.88</v>
      </c>
      <c r="F116">
        <v>15143.56</v>
      </c>
      <c r="G116">
        <v>17261.3</v>
      </c>
      <c r="H116">
        <v>12963.41</v>
      </c>
      <c r="I116">
        <v>14685.86</v>
      </c>
      <c r="J116">
        <v>13406.64</v>
      </c>
      <c r="K116">
        <v>11937.66</v>
      </c>
      <c r="L116">
        <v>11957.64</v>
      </c>
      <c r="M116">
        <v>11854.65</v>
      </c>
      <c r="N116">
        <v>11584.87</v>
      </c>
      <c r="O116">
        <v>12093.99</v>
      </c>
      <c r="P116">
        <v>12539.87</v>
      </c>
      <c r="Q116">
        <v>13684.25</v>
      </c>
      <c r="R116">
        <v>15083.34</v>
      </c>
      <c r="S116">
        <v>16049.53</v>
      </c>
      <c r="T116">
        <v>18331.990000000002</v>
      </c>
      <c r="U116">
        <v>19796.52</v>
      </c>
      <c r="V116">
        <v>21780.12</v>
      </c>
      <c r="W116">
        <v>21932.85</v>
      </c>
      <c r="X116">
        <v>22458.03</v>
      </c>
      <c r="Y116">
        <f t="shared" si="1"/>
        <v>4.1611577443766926E-3</v>
      </c>
    </row>
    <row r="117" spans="1:25" x14ac:dyDescent="0.2">
      <c r="A117" t="s">
        <v>189</v>
      </c>
      <c r="B117" t="s">
        <v>190</v>
      </c>
      <c r="C117" t="s">
        <v>191</v>
      </c>
      <c r="D117" t="s">
        <v>7</v>
      </c>
      <c r="E117">
        <v>6453.02</v>
      </c>
      <c r="F117">
        <v>7385.41</v>
      </c>
      <c r="G117">
        <v>8403.6</v>
      </c>
      <c r="H117">
        <v>8497.64</v>
      </c>
      <c r="I117">
        <v>8055.92</v>
      </c>
      <c r="J117">
        <v>9311.58</v>
      </c>
      <c r="K117">
        <v>10010.59</v>
      </c>
      <c r="L117">
        <v>10384.99</v>
      </c>
      <c r="M117">
        <v>10258.57</v>
      </c>
      <c r="N117">
        <v>11722.41</v>
      </c>
      <c r="O117">
        <v>12455.82</v>
      </c>
      <c r="P117">
        <v>13456.04</v>
      </c>
      <c r="Q117">
        <v>14875.53</v>
      </c>
      <c r="R117">
        <v>15128.29</v>
      </c>
      <c r="S117">
        <v>16236.02</v>
      </c>
      <c r="T117">
        <v>15737.17</v>
      </c>
      <c r="U117">
        <v>19332.78</v>
      </c>
      <c r="V117">
        <v>26789.74</v>
      </c>
      <c r="W117">
        <v>25979.02</v>
      </c>
      <c r="X117">
        <v>22374</v>
      </c>
      <c r="Y117">
        <f t="shared" si="1"/>
        <v>4.1455881647982536E-3</v>
      </c>
    </row>
    <row r="118" spans="1:25" x14ac:dyDescent="0.2">
      <c r="A118" t="s">
        <v>294</v>
      </c>
      <c r="B118" t="s">
        <v>295</v>
      </c>
      <c r="C118" t="s">
        <v>296</v>
      </c>
      <c r="D118" t="s">
        <v>7</v>
      </c>
      <c r="E118">
        <v>9811.9</v>
      </c>
      <c r="F118">
        <v>12016.2</v>
      </c>
      <c r="G118">
        <v>14604.15</v>
      </c>
      <c r="H118">
        <v>15662.85</v>
      </c>
      <c r="I118">
        <v>15597.49</v>
      </c>
      <c r="J118">
        <v>13998.08</v>
      </c>
      <c r="K118">
        <v>11917.13</v>
      </c>
      <c r="L118">
        <v>12589.44</v>
      </c>
      <c r="M118">
        <v>10886.76</v>
      </c>
      <c r="N118">
        <v>12473.63</v>
      </c>
      <c r="O118">
        <v>14294.43</v>
      </c>
      <c r="P118">
        <v>14821.41</v>
      </c>
      <c r="Q118">
        <v>16002.76</v>
      </c>
      <c r="R118">
        <v>17138.080000000002</v>
      </c>
      <c r="S118">
        <v>15191.53</v>
      </c>
      <c r="T118">
        <v>13417.19</v>
      </c>
      <c r="U118">
        <v>15405.35</v>
      </c>
      <c r="V118">
        <v>20454.240000000002</v>
      </c>
      <c r="W118">
        <v>21849.14</v>
      </c>
      <c r="X118">
        <v>22049.79</v>
      </c>
      <c r="Y118">
        <f t="shared" si="1"/>
        <v>4.0855166023190705E-3</v>
      </c>
    </row>
    <row r="119" spans="1:25" x14ac:dyDescent="0.2">
      <c r="A119" t="s">
        <v>375</v>
      </c>
      <c r="B119" t="s">
        <v>376</v>
      </c>
      <c r="C119" t="s">
        <v>377</v>
      </c>
      <c r="D119" t="s">
        <v>7</v>
      </c>
      <c r="E119">
        <v>2422.92</v>
      </c>
      <c r="F119">
        <v>2697.94</v>
      </c>
      <c r="G119">
        <v>3032.84</v>
      </c>
      <c r="H119">
        <v>3977.6</v>
      </c>
      <c r="I119">
        <v>4879.8599999999997</v>
      </c>
      <c r="J119">
        <v>7441.2</v>
      </c>
      <c r="K119">
        <v>5967.13</v>
      </c>
      <c r="L119">
        <v>6388.45</v>
      </c>
      <c r="M119">
        <v>7980.1</v>
      </c>
      <c r="N119">
        <v>8457.02</v>
      </c>
      <c r="O119">
        <v>8200.67</v>
      </c>
      <c r="P119">
        <v>8326.57</v>
      </c>
      <c r="Q119">
        <v>8066.22</v>
      </c>
      <c r="R119">
        <v>9285.06</v>
      </c>
      <c r="S119">
        <v>11291.66</v>
      </c>
      <c r="T119">
        <v>13166.51</v>
      </c>
      <c r="U119">
        <v>16089.09</v>
      </c>
      <c r="V119">
        <v>17188.3</v>
      </c>
      <c r="W119">
        <v>18472.55</v>
      </c>
      <c r="X119">
        <v>21682.14</v>
      </c>
      <c r="Y119">
        <f t="shared" si="1"/>
        <v>4.0173962175515691E-3</v>
      </c>
    </row>
    <row r="120" spans="1:25" x14ac:dyDescent="0.2">
      <c r="A120" t="s">
        <v>261</v>
      </c>
      <c r="B120" t="s">
        <v>262</v>
      </c>
      <c r="C120" t="s">
        <v>263</v>
      </c>
      <c r="D120" t="s">
        <v>7</v>
      </c>
      <c r="E120">
        <v>5962.95</v>
      </c>
      <c r="F120">
        <v>10148.969999999999</v>
      </c>
      <c r="G120">
        <v>12669.46</v>
      </c>
      <c r="H120">
        <v>10858.51</v>
      </c>
      <c r="I120">
        <v>14250.82</v>
      </c>
      <c r="J120">
        <v>17505.669999999998</v>
      </c>
      <c r="K120">
        <v>17345.080000000002</v>
      </c>
      <c r="L120">
        <v>16696.2</v>
      </c>
      <c r="M120">
        <v>13572.2</v>
      </c>
      <c r="N120">
        <v>13430.46</v>
      </c>
      <c r="O120">
        <v>13986.68</v>
      </c>
      <c r="P120">
        <v>13832.57</v>
      </c>
      <c r="Q120">
        <v>13764.26</v>
      </c>
      <c r="R120">
        <v>12098.15</v>
      </c>
      <c r="S120">
        <v>13328.5</v>
      </c>
      <c r="T120">
        <v>14888.47</v>
      </c>
      <c r="U120">
        <v>22666.44</v>
      </c>
      <c r="V120">
        <v>22988.21</v>
      </c>
      <c r="W120">
        <v>19261.72</v>
      </c>
      <c r="X120">
        <v>21638.97</v>
      </c>
      <c r="Y120">
        <f t="shared" si="1"/>
        <v>4.0093974224736061E-3</v>
      </c>
    </row>
    <row r="121" spans="1:25" x14ac:dyDescent="0.2">
      <c r="A121" t="s">
        <v>753</v>
      </c>
      <c r="B121" t="s">
        <v>754</v>
      </c>
      <c r="C121" t="s">
        <v>755</v>
      </c>
      <c r="D121" t="s">
        <v>7</v>
      </c>
      <c r="E121">
        <v>1935.69</v>
      </c>
      <c r="F121">
        <v>2320.67</v>
      </c>
      <c r="G121">
        <v>2817.14</v>
      </c>
      <c r="H121">
        <v>3810.47</v>
      </c>
      <c r="I121">
        <v>4897.4799999999996</v>
      </c>
      <c r="J121">
        <v>5190.33</v>
      </c>
      <c r="K121">
        <v>5698.39</v>
      </c>
      <c r="L121">
        <v>5830.26</v>
      </c>
      <c r="M121">
        <v>6637.56</v>
      </c>
      <c r="N121">
        <v>7248.01</v>
      </c>
      <c r="O121">
        <v>7843.29</v>
      </c>
      <c r="P121">
        <v>8479.2199999999993</v>
      </c>
      <c r="Q121">
        <v>8332.93</v>
      </c>
      <c r="R121">
        <v>9138.91</v>
      </c>
      <c r="S121">
        <v>10075.19</v>
      </c>
      <c r="T121">
        <v>10583.22</v>
      </c>
      <c r="U121">
        <v>12573.93</v>
      </c>
      <c r="V121">
        <v>14667.71</v>
      </c>
      <c r="W121">
        <v>18538.09</v>
      </c>
      <c r="X121">
        <v>21321.119999999999</v>
      </c>
      <c r="Y121">
        <f t="shared" si="1"/>
        <v>3.9505042787272432E-3</v>
      </c>
    </row>
    <row r="122" spans="1:25" x14ac:dyDescent="0.2">
      <c r="A122" t="s">
        <v>483</v>
      </c>
      <c r="B122" t="s">
        <v>484</v>
      </c>
      <c r="C122" t="s">
        <v>485</v>
      </c>
      <c r="D122" t="s">
        <v>7</v>
      </c>
      <c r="E122">
        <v>7888.43</v>
      </c>
      <c r="F122">
        <v>8278.25</v>
      </c>
      <c r="G122">
        <v>8862.4699999999993</v>
      </c>
      <c r="H122">
        <v>9845.3700000000008</v>
      </c>
      <c r="I122">
        <v>10352.280000000001</v>
      </c>
      <c r="J122">
        <v>10861.92</v>
      </c>
      <c r="K122">
        <v>10912.85</v>
      </c>
      <c r="L122">
        <v>11382.93</v>
      </c>
      <c r="M122">
        <v>11680.38</v>
      </c>
      <c r="N122">
        <v>11838.04</v>
      </c>
      <c r="O122">
        <v>11734.54</v>
      </c>
      <c r="P122">
        <v>11683.16</v>
      </c>
      <c r="Q122">
        <v>11926.25</v>
      </c>
      <c r="R122">
        <v>12333.91</v>
      </c>
      <c r="S122">
        <v>12689.17</v>
      </c>
      <c r="T122">
        <v>11237.71</v>
      </c>
      <c r="U122">
        <v>12237.79</v>
      </c>
      <c r="V122">
        <v>15624.33</v>
      </c>
      <c r="W122">
        <v>18148.490000000002</v>
      </c>
      <c r="X122">
        <v>20053.080000000002</v>
      </c>
      <c r="Y122">
        <f t="shared" si="1"/>
        <v>3.7155542645817721E-3</v>
      </c>
    </row>
    <row r="123" spans="1:25" x14ac:dyDescent="0.2">
      <c r="A123" t="s">
        <v>624</v>
      </c>
      <c r="B123" t="s">
        <v>625</v>
      </c>
      <c r="C123" t="s">
        <v>626</v>
      </c>
      <c r="D123" t="s">
        <v>7</v>
      </c>
      <c r="E123">
        <v>1261.3699999999999</v>
      </c>
      <c r="F123">
        <v>1627.28</v>
      </c>
      <c r="G123">
        <v>1935.54</v>
      </c>
      <c r="H123">
        <v>2406.94</v>
      </c>
      <c r="I123">
        <v>2983.32</v>
      </c>
      <c r="J123">
        <v>3594.91</v>
      </c>
      <c r="K123">
        <v>3969.19</v>
      </c>
      <c r="L123">
        <v>4344.5600000000004</v>
      </c>
      <c r="M123">
        <v>5144.71</v>
      </c>
      <c r="N123">
        <v>5408.44</v>
      </c>
      <c r="O123">
        <v>6351.57</v>
      </c>
      <c r="P123">
        <v>7096.48</v>
      </c>
      <c r="Q123">
        <v>7729.21</v>
      </c>
      <c r="R123">
        <v>8541.93</v>
      </c>
      <c r="S123">
        <v>9995.18</v>
      </c>
      <c r="T123">
        <v>10336.77</v>
      </c>
      <c r="U123">
        <v>11653.87</v>
      </c>
      <c r="V123">
        <v>15208.22</v>
      </c>
      <c r="W123">
        <v>17752.88</v>
      </c>
      <c r="X123">
        <v>19566.05</v>
      </c>
      <c r="Y123">
        <f t="shared" si="1"/>
        <v>3.6253144413985372E-3</v>
      </c>
    </row>
    <row r="124" spans="1:25" x14ac:dyDescent="0.2">
      <c r="A124" t="s">
        <v>633</v>
      </c>
      <c r="B124" t="s">
        <v>634</v>
      </c>
      <c r="C124" t="s">
        <v>635</v>
      </c>
      <c r="D124" t="s">
        <v>7</v>
      </c>
      <c r="E124">
        <v>4797.91</v>
      </c>
      <c r="F124">
        <v>5853.31</v>
      </c>
      <c r="G124">
        <v>7216.33</v>
      </c>
      <c r="H124">
        <v>9215.9699999999993</v>
      </c>
      <c r="I124">
        <v>10174.709999999999</v>
      </c>
      <c r="J124">
        <v>10702.24</v>
      </c>
      <c r="K124">
        <v>9406.91</v>
      </c>
      <c r="L124">
        <v>7754.89</v>
      </c>
      <c r="M124">
        <v>7430.76</v>
      </c>
      <c r="N124">
        <v>7592.25</v>
      </c>
      <c r="O124">
        <v>8459.16</v>
      </c>
      <c r="P124">
        <v>7688.91</v>
      </c>
      <c r="Q124">
        <v>7736.49</v>
      </c>
      <c r="R124">
        <v>8418.41</v>
      </c>
      <c r="S124">
        <v>10308.700000000001</v>
      </c>
      <c r="T124">
        <v>11160.65</v>
      </c>
      <c r="U124">
        <v>12143.55</v>
      </c>
      <c r="V124">
        <v>15851.22</v>
      </c>
      <c r="W124">
        <v>18561.849999999999</v>
      </c>
      <c r="X124">
        <v>19434.25</v>
      </c>
      <c r="Y124">
        <f t="shared" si="1"/>
        <v>3.6008937513064476E-3</v>
      </c>
    </row>
    <row r="125" spans="1:25" x14ac:dyDescent="0.2">
      <c r="A125" t="s">
        <v>78</v>
      </c>
      <c r="B125" t="s">
        <v>79</v>
      </c>
      <c r="C125" t="s">
        <v>80</v>
      </c>
      <c r="D125" t="s">
        <v>7</v>
      </c>
      <c r="E125">
        <v>3670.94</v>
      </c>
      <c r="F125">
        <v>4331.4399999999996</v>
      </c>
      <c r="G125">
        <v>4432.59</v>
      </c>
      <c r="H125">
        <v>4853.17</v>
      </c>
      <c r="I125">
        <v>5853.71</v>
      </c>
      <c r="J125">
        <v>5725.44</v>
      </c>
      <c r="K125">
        <v>6781.04</v>
      </c>
      <c r="L125">
        <v>7263.48</v>
      </c>
      <c r="M125">
        <v>8405.01</v>
      </c>
      <c r="N125">
        <v>8867.68</v>
      </c>
      <c r="O125">
        <v>9291.1200000000008</v>
      </c>
      <c r="P125">
        <v>10835.38</v>
      </c>
      <c r="Q125">
        <v>12317.86</v>
      </c>
      <c r="R125">
        <v>12110.52</v>
      </c>
      <c r="S125">
        <v>13172.76</v>
      </c>
      <c r="T125">
        <v>14099.39</v>
      </c>
      <c r="U125">
        <v>14690.68</v>
      </c>
      <c r="V125">
        <v>17950.39</v>
      </c>
      <c r="W125">
        <v>19976.45</v>
      </c>
      <c r="X125">
        <v>19319.439999999999</v>
      </c>
      <c r="Y125">
        <f t="shared" si="1"/>
        <v>3.5796210697474733E-3</v>
      </c>
    </row>
    <row r="126" spans="1:25" x14ac:dyDescent="0.2">
      <c r="A126" t="s">
        <v>297</v>
      </c>
      <c r="B126" t="s">
        <v>298</v>
      </c>
      <c r="C126" t="s">
        <v>299</v>
      </c>
      <c r="D126" t="s">
        <v>7</v>
      </c>
      <c r="E126">
        <v>6891.01</v>
      </c>
      <c r="F126">
        <v>7354.57</v>
      </c>
      <c r="G126">
        <v>8194.2999999999993</v>
      </c>
      <c r="H126">
        <v>8814.44</v>
      </c>
      <c r="I126">
        <v>7633.49</v>
      </c>
      <c r="J126">
        <v>7182.55</v>
      </c>
      <c r="K126">
        <v>8152.3</v>
      </c>
      <c r="L126">
        <v>8611.16</v>
      </c>
      <c r="M126">
        <v>9003.9599999999991</v>
      </c>
      <c r="N126">
        <v>10314.459999999999</v>
      </c>
      <c r="O126">
        <v>10641.77</v>
      </c>
      <c r="P126">
        <v>11433.29</v>
      </c>
      <c r="Q126">
        <v>12018.37</v>
      </c>
      <c r="R126">
        <v>13429.39</v>
      </c>
      <c r="S126">
        <v>13838.26</v>
      </c>
      <c r="T126">
        <v>10722.81</v>
      </c>
      <c r="U126">
        <v>12650.55</v>
      </c>
      <c r="V126">
        <v>15914.74</v>
      </c>
      <c r="W126">
        <v>17052.45</v>
      </c>
      <c r="X126">
        <v>19310.02</v>
      </c>
      <c r="Y126">
        <f t="shared" si="1"/>
        <v>3.577875675963957E-3</v>
      </c>
    </row>
    <row r="127" spans="1:25" x14ac:dyDescent="0.2">
      <c r="A127" t="s">
        <v>534</v>
      </c>
      <c r="B127" t="s">
        <v>535</v>
      </c>
      <c r="C127" t="s">
        <v>536</v>
      </c>
      <c r="D127" t="s">
        <v>7</v>
      </c>
      <c r="E127">
        <v>2125.9499999999998</v>
      </c>
      <c r="F127">
        <v>2496.79</v>
      </c>
      <c r="G127">
        <v>3086.01</v>
      </c>
      <c r="H127">
        <v>3794.03</v>
      </c>
      <c r="I127">
        <v>3964</v>
      </c>
      <c r="J127">
        <v>4068.8</v>
      </c>
      <c r="K127">
        <v>5038.76</v>
      </c>
      <c r="L127">
        <v>5322.08</v>
      </c>
      <c r="M127">
        <v>5695.72</v>
      </c>
      <c r="N127">
        <v>6099.14</v>
      </c>
      <c r="O127">
        <v>6577.04</v>
      </c>
      <c r="P127">
        <v>7382.54</v>
      </c>
      <c r="Q127">
        <v>8031.81</v>
      </c>
      <c r="R127">
        <v>8833.6</v>
      </c>
      <c r="S127">
        <v>10437.23</v>
      </c>
      <c r="T127">
        <v>8164</v>
      </c>
      <c r="U127">
        <v>10399.61</v>
      </c>
      <c r="V127">
        <v>13952.76</v>
      </c>
      <c r="W127">
        <v>17327.23</v>
      </c>
      <c r="X127">
        <v>18861.27</v>
      </c>
      <c r="Y127">
        <f t="shared" si="1"/>
        <v>3.4947285994933563E-3</v>
      </c>
    </row>
    <row r="128" spans="1:25" x14ac:dyDescent="0.2">
      <c r="A128" t="s">
        <v>561</v>
      </c>
      <c r="B128" t="s">
        <v>562</v>
      </c>
      <c r="C128" t="s">
        <v>563</v>
      </c>
      <c r="D128" t="s">
        <v>7</v>
      </c>
      <c r="E128">
        <v>21924.11</v>
      </c>
      <c r="F128">
        <v>21404.66</v>
      </c>
      <c r="G128">
        <v>21679.39</v>
      </c>
      <c r="H128">
        <v>22693.69</v>
      </c>
      <c r="I128">
        <v>21164.95</v>
      </c>
      <c r="J128">
        <v>20574.04</v>
      </c>
      <c r="K128">
        <v>14566.02</v>
      </c>
      <c r="L128">
        <v>13177.98</v>
      </c>
      <c r="M128">
        <v>12613.75</v>
      </c>
      <c r="N128">
        <v>17274.62</v>
      </c>
      <c r="O128">
        <v>16778.09</v>
      </c>
      <c r="P128">
        <v>16264.76</v>
      </c>
      <c r="Q128">
        <v>15817.07</v>
      </c>
      <c r="R128">
        <v>15296.94</v>
      </c>
      <c r="S128">
        <v>15434.18</v>
      </c>
      <c r="T128">
        <v>15364.02</v>
      </c>
      <c r="U128">
        <v>14769.79</v>
      </c>
      <c r="V128">
        <v>18120.330000000002</v>
      </c>
      <c r="W128">
        <v>17286.38</v>
      </c>
      <c r="X128">
        <v>18336.490000000002</v>
      </c>
      <c r="Y128">
        <f t="shared" si="1"/>
        <v>3.3974942311585563E-3</v>
      </c>
    </row>
    <row r="129" spans="1:25" x14ac:dyDescent="0.2">
      <c r="A129" t="s">
        <v>222</v>
      </c>
      <c r="B129" t="s">
        <v>223</v>
      </c>
      <c r="C129" t="s">
        <v>224</v>
      </c>
      <c r="D129" t="s">
        <v>7</v>
      </c>
      <c r="E129">
        <v>4853.7</v>
      </c>
      <c r="F129">
        <v>7587.13</v>
      </c>
      <c r="G129">
        <v>7948.09</v>
      </c>
      <c r="H129">
        <v>5451.64</v>
      </c>
      <c r="I129">
        <v>4638.95</v>
      </c>
      <c r="J129">
        <v>6328.27</v>
      </c>
      <c r="K129">
        <v>8569.4599999999991</v>
      </c>
      <c r="L129">
        <v>8373.14</v>
      </c>
      <c r="M129">
        <v>8540.94</v>
      </c>
      <c r="N129">
        <v>9648.3799999999992</v>
      </c>
      <c r="O129">
        <v>10690.8</v>
      </c>
      <c r="P129">
        <v>11058.42</v>
      </c>
      <c r="Q129">
        <v>12781.57</v>
      </c>
      <c r="R129">
        <v>13329.01</v>
      </c>
      <c r="S129">
        <v>11670.97</v>
      </c>
      <c r="T129">
        <v>11574.98</v>
      </c>
      <c r="U129">
        <v>16939.21</v>
      </c>
      <c r="V129">
        <v>22750.69</v>
      </c>
      <c r="W129">
        <v>21628.52</v>
      </c>
      <c r="X129">
        <v>18153.22</v>
      </c>
      <c r="Y129">
        <f t="shared" si="1"/>
        <v>3.3635368724849808E-3</v>
      </c>
    </row>
    <row r="130" spans="1:25" x14ac:dyDescent="0.2">
      <c r="A130" t="s">
        <v>141</v>
      </c>
      <c r="B130" t="s">
        <v>142</v>
      </c>
      <c r="C130" t="s">
        <v>143</v>
      </c>
      <c r="D130" t="s">
        <v>7</v>
      </c>
      <c r="E130">
        <v>5496.66</v>
      </c>
      <c r="F130">
        <v>5762.55</v>
      </c>
      <c r="G130">
        <v>6062.54</v>
      </c>
      <c r="H130">
        <v>5831.17</v>
      </c>
      <c r="I130">
        <v>6351.99</v>
      </c>
      <c r="J130">
        <v>8757.92</v>
      </c>
      <c r="K130">
        <v>10335.41</v>
      </c>
      <c r="L130">
        <v>10101.89</v>
      </c>
      <c r="M130">
        <v>10898.46</v>
      </c>
      <c r="N130">
        <v>11286.22</v>
      </c>
      <c r="O130">
        <v>12046.82</v>
      </c>
      <c r="P130">
        <v>12483.75</v>
      </c>
      <c r="Q130">
        <v>13409.83</v>
      </c>
      <c r="R130">
        <v>15245.81</v>
      </c>
      <c r="S130">
        <v>14586.06</v>
      </c>
      <c r="T130">
        <v>13593.24</v>
      </c>
      <c r="U130">
        <v>17611.87</v>
      </c>
      <c r="V130">
        <v>23837.39</v>
      </c>
      <c r="W130">
        <v>18222.400000000001</v>
      </c>
      <c r="X130">
        <v>18087.07</v>
      </c>
      <c r="Y130">
        <f t="shared" si="1"/>
        <v>3.3512802059478658E-3</v>
      </c>
    </row>
    <row r="131" spans="1:25" x14ac:dyDescent="0.2">
      <c r="A131" t="s">
        <v>396</v>
      </c>
      <c r="B131" t="s">
        <v>397</v>
      </c>
      <c r="C131" t="s">
        <v>398</v>
      </c>
      <c r="D131" t="s">
        <v>7</v>
      </c>
      <c r="E131" t="s">
        <v>11</v>
      </c>
      <c r="F131" t="s">
        <v>11</v>
      </c>
      <c r="G131" t="s">
        <v>11</v>
      </c>
      <c r="H131" t="s">
        <v>11</v>
      </c>
      <c r="I131" t="s">
        <v>11</v>
      </c>
      <c r="J131">
        <v>9626.0300000000007</v>
      </c>
      <c r="K131">
        <v>10663.36</v>
      </c>
      <c r="L131">
        <v>10698.99</v>
      </c>
      <c r="M131">
        <v>10874.13</v>
      </c>
      <c r="N131">
        <v>11894.18</v>
      </c>
      <c r="O131">
        <v>13146.44</v>
      </c>
      <c r="P131">
        <v>10367.129999999999</v>
      </c>
      <c r="Q131">
        <v>10306.9</v>
      </c>
      <c r="R131">
        <v>11346.73</v>
      </c>
      <c r="S131">
        <v>12164.23</v>
      </c>
      <c r="T131">
        <v>11760.69</v>
      </c>
      <c r="U131">
        <v>13509.31</v>
      </c>
      <c r="V131">
        <v>16340.67</v>
      </c>
      <c r="W131">
        <v>18868.400000000001</v>
      </c>
      <c r="X131">
        <v>18081.650000000001</v>
      </c>
      <c r="Y131">
        <f t="shared" ref="Y131:Y194" si="2">X131/$X$274</f>
        <v>3.3502759560214692E-3</v>
      </c>
    </row>
    <row r="132" spans="1:25" x14ac:dyDescent="0.2">
      <c r="A132" t="s">
        <v>324</v>
      </c>
      <c r="B132" t="s">
        <v>325</v>
      </c>
      <c r="C132" t="s">
        <v>326</v>
      </c>
      <c r="D132" t="s">
        <v>7</v>
      </c>
      <c r="E132">
        <v>1414.38</v>
      </c>
      <c r="F132">
        <v>1618.85</v>
      </c>
      <c r="G132">
        <v>1744.48</v>
      </c>
      <c r="H132">
        <v>1982.64</v>
      </c>
      <c r="I132">
        <v>2510.8200000000002</v>
      </c>
      <c r="J132">
        <v>2625.5</v>
      </c>
      <c r="K132">
        <v>3528.32</v>
      </c>
      <c r="L132">
        <v>5057.68</v>
      </c>
      <c r="M132">
        <v>6303.09</v>
      </c>
      <c r="N132">
        <v>6645.67</v>
      </c>
      <c r="O132">
        <v>7222.53</v>
      </c>
      <c r="P132">
        <v>8071.17</v>
      </c>
      <c r="Q132">
        <v>8803.66</v>
      </c>
      <c r="R132">
        <v>9662.85</v>
      </c>
      <c r="S132">
        <v>11386.77</v>
      </c>
      <c r="T132">
        <v>8560.2800000000007</v>
      </c>
      <c r="U132">
        <v>9054.69</v>
      </c>
      <c r="V132">
        <v>11936.32</v>
      </c>
      <c r="W132">
        <v>15659.37</v>
      </c>
      <c r="X132">
        <v>18049.73</v>
      </c>
      <c r="Y132">
        <f t="shared" si="2"/>
        <v>3.3443616280416548E-3</v>
      </c>
    </row>
    <row r="133" spans="1:25" x14ac:dyDescent="0.2">
      <c r="A133" t="s">
        <v>306</v>
      </c>
      <c r="B133" t="s">
        <v>307</v>
      </c>
      <c r="C133" t="s">
        <v>308</v>
      </c>
      <c r="D133" t="s">
        <v>7</v>
      </c>
      <c r="E133">
        <v>7167.93</v>
      </c>
      <c r="F133">
        <v>7653.87</v>
      </c>
      <c r="G133">
        <v>8179.79</v>
      </c>
      <c r="H133">
        <v>9380.51</v>
      </c>
      <c r="I133">
        <v>8275.18</v>
      </c>
      <c r="J133">
        <v>8214.2999999999993</v>
      </c>
      <c r="K133">
        <v>9616.32</v>
      </c>
      <c r="L133">
        <v>10465.75</v>
      </c>
      <c r="M133">
        <v>10177.040000000001</v>
      </c>
      <c r="N133">
        <v>10077.85</v>
      </c>
      <c r="O133">
        <v>10043.26</v>
      </c>
      <c r="P133">
        <v>9855.18</v>
      </c>
      <c r="Q133">
        <v>10164.19</v>
      </c>
      <c r="R133">
        <v>11941.01</v>
      </c>
      <c r="S133">
        <v>12726.45</v>
      </c>
      <c r="T133">
        <v>11192.34</v>
      </c>
      <c r="U133">
        <v>12668.55</v>
      </c>
      <c r="V133">
        <v>16650.32</v>
      </c>
      <c r="W133">
        <v>18354.66</v>
      </c>
      <c r="X133">
        <v>17269.32</v>
      </c>
      <c r="Y133">
        <f t="shared" si="2"/>
        <v>3.1997626086579861E-3</v>
      </c>
    </row>
    <row r="134" spans="1:25" x14ac:dyDescent="0.2">
      <c r="A134" t="s">
        <v>252</v>
      </c>
      <c r="B134" t="s">
        <v>253</v>
      </c>
      <c r="C134" t="s">
        <v>254</v>
      </c>
      <c r="D134" t="s">
        <v>7</v>
      </c>
      <c r="E134">
        <v>4951.6499999999996</v>
      </c>
      <c r="F134">
        <v>7238.05</v>
      </c>
      <c r="G134">
        <v>9072.6</v>
      </c>
      <c r="H134">
        <v>6262.18</v>
      </c>
      <c r="I134">
        <v>6182.72</v>
      </c>
      <c r="J134">
        <v>14484.58</v>
      </c>
      <c r="K134">
        <v>8921.36</v>
      </c>
      <c r="L134">
        <v>7922.22</v>
      </c>
      <c r="M134">
        <v>7158.83</v>
      </c>
      <c r="N134">
        <v>9110.4500000000007</v>
      </c>
      <c r="O134">
        <v>8849.18</v>
      </c>
      <c r="P134">
        <v>8820.51</v>
      </c>
      <c r="Q134">
        <v>10641.97</v>
      </c>
      <c r="R134">
        <v>10542.47</v>
      </c>
      <c r="S134">
        <v>11189.51</v>
      </c>
      <c r="T134">
        <v>11219.09</v>
      </c>
      <c r="U134">
        <v>15192.56</v>
      </c>
      <c r="V134">
        <v>17488.07</v>
      </c>
      <c r="W134">
        <v>16506.509999999998</v>
      </c>
      <c r="X134">
        <v>16369.46</v>
      </c>
      <c r="Y134">
        <f t="shared" si="2"/>
        <v>3.0330311808410841E-3</v>
      </c>
    </row>
    <row r="135" spans="1:25" x14ac:dyDescent="0.2">
      <c r="A135" t="s">
        <v>282</v>
      </c>
      <c r="B135" t="s">
        <v>283</v>
      </c>
      <c r="C135" t="s">
        <v>284</v>
      </c>
      <c r="D135" t="s">
        <v>7</v>
      </c>
      <c r="E135">
        <v>1761.5</v>
      </c>
      <c r="F135">
        <v>2327.4899999999998</v>
      </c>
      <c r="G135">
        <v>2537.9</v>
      </c>
      <c r="H135">
        <v>2368.06</v>
      </c>
      <c r="I135">
        <v>2503.89</v>
      </c>
      <c r="J135">
        <v>2909.5</v>
      </c>
      <c r="K135">
        <v>7973.37</v>
      </c>
      <c r="L135">
        <v>6796.39</v>
      </c>
      <c r="M135">
        <v>6667.63</v>
      </c>
      <c r="N135">
        <v>8242.93</v>
      </c>
      <c r="O135">
        <v>8430.8700000000008</v>
      </c>
      <c r="P135">
        <v>8360.4599999999991</v>
      </c>
      <c r="Q135">
        <v>8785.0400000000009</v>
      </c>
      <c r="R135">
        <v>10041.69</v>
      </c>
      <c r="S135">
        <v>10203.709999999999</v>
      </c>
      <c r="T135">
        <v>9416.5499999999993</v>
      </c>
      <c r="U135">
        <v>13237.88</v>
      </c>
      <c r="V135">
        <v>16482.900000000001</v>
      </c>
      <c r="W135">
        <v>14829.08</v>
      </c>
      <c r="X135">
        <v>16167.48</v>
      </c>
      <c r="Y135">
        <f t="shared" si="2"/>
        <v>2.995607121775832E-3</v>
      </c>
    </row>
    <row r="136" spans="1:25" x14ac:dyDescent="0.2">
      <c r="A136" t="s">
        <v>357</v>
      </c>
      <c r="B136" t="s">
        <v>358</v>
      </c>
      <c r="C136" t="s">
        <v>359</v>
      </c>
      <c r="D136" t="s">
        <v>7</v>
      </c>
      <c r="E136">
        <v>3526.54</v>
      </c>
      <c r="F136">
        <v>3038.61</v>
      </c>
      <c r="G136">
        <v>3073.96</v>
      </c>
      <c r="H136">
        <v>3664.29</v>
      </c>
      <c r="I136">
        <v>3719</v>
      </c>
      <c r="J136">
        <v>5441.9</v>
      </c>
      <c r="K136">
        <v>5882.42</v>
      </c>
      <c r="L136">
        <v>6403.85</v>
      </c>
      <c r="M136">
        <v>7091.99</v>
      </c>
      <c r="N136">
        <v>7465.14</v>
      </c>
      <c r="O136">
        <v>10213.219999999999</v>
      </c>
      <c r="P136">
        <v>6919.75</v>
      </c>
      <c r="Q136">
        <v>6905.15</v>
      </c>
      <c r="R136">
        <v>7238.22</v>
      </c>
      <c r="S136">
        <v>9506.0499999999993</v>
      </c>
      <c r="T136">
        <v>11176.04</v>
      </c>
      <c r="U136">
        <v>11786.68</v>
      </c>
      <c r="V136">
        <v>14924.22</v>
      </c>
      <c r="W136">
        <v>18098.11</v>
      </c>
      <c r="X136">
        <v>15820.72</v>
      </c>
      <c r="Y136">
        <f t="shared" si="2"/>
        <v>2.9313573608021376E-3</v>
      </c>
    </row>
    <row r="137" spans="1:25" x14ac:dyDescent="0.2">
      <c r="A137" t="s">
        <v>453</v>
      </c>
      <c r="B137" t="s">
        <v>454</v>
      </c>
      <c r="C137" t="s">
        <v>455</v>
      </c>
      <c r="D137" t="s">
        <v>7</v>
      </c>
      <c r="E137">
        <v>10502.39</v>
      </c>
      <c r="F137" t="s">
        <v>11</v>
      </c>
      <c r="G137" t="s">
        <v>11</v>
      </c>
      <c r="H137" t="s">
        <v>11</v>
      </c>
      <c r="I137" t="s">
        <v>11</v>
      </c>
      <c r="J137" t="s">
        <v>11</v>
      </c>
      <c r="K137">
        <v>5502.18</v>
      </c>
      <c r="L137">
        <v>6114</v>
      </c>
      <c r="M137">
        <v>7834.71</v>
      </c>
      <c r="N137">
        <v>6717.13</v>
      </c>
      <c r="O137">
        <v>7039.7</v>
      </c>
      <c r="P137">
        <v>7961.95</v>
      </c>
      <c r="Q137">
        <v>8217.56</v>
      </c>
      <c r="R137">
        <v>8363.0499999999993</v>
      </c>
      <c r="S137">
        <v>8597.92</v>
      </c>
      <c r="T137">
        <v>9253.24</v>
      </c>
      <c r="U137">
        <v>9889.5499999999993</v>
      </c>
      <c r="V137">
        <v>12711.63</v>
      </c>
      <c r="W137">
        <v>14572.29</v>
      </c>
      <c r="X137">
        <v>14768.38</v>
      </c>
      <c r="Y137">
        <f t="shared" si="2"/>
        <v>2.7363735291518381E-3</v>
      </c>
    </row>
    <row r="138" spans="1:25" x14ac:dyDescent="0.2">
      <c r="A138" t="s">
        <v>522</v>
      </c>
      <c r="B138" t="s">
        <v>523</v>
      </c>
      <c r="C138" t="s">
        <v>524</v>
      </c>
      <c r="D138" t="s">
        <v>7</v>
      </c>
      <c r="E138">
        <v>3043.73</v>
      </c>
      <c r="F138">
        <v>3306.21</v>
      </c>
      <c r="G138">
        <v>3778.66</v>
      </c>
      <c r="H138">
        <v>4048.06</v>
      </c>
      <c r="I138">
        <v>4125.22</v>
      </c>
      <c r="J138">
        <v>4443.58</v>
      </c>
      <c r="K138">
        <v>5180.6099999999997</v>
      </c>
      <c r="L138">
        <v>5039.87</v>
      </c>
      <c r="M138">
        <v>5190.68</v>
      </c>
      <c r="N138">
        <v>5732.27</v>
      </c>
      <c r="O138">
        <v>6119.14</v>
      </c>
      <c r="P138">
        <v>7027.2</v>
      </c>
      <c r="Q138">
        <v>7597.17</v>
      </c>
      <c r="R138">
        <v>8259.24</v>
      </c>
      <c r="S138">
        <v>9004.2000000000007</v>
      </c>
      <c r="T138">
        <v>4597.8599999999997</v>
      </c>
      <c r="U138">
        <v>5776.39</v>
      </c>
      <c r="V138">
        <v>10402.84</v>
      </c>
      <c r="W138">
        <v>13273.54</v>
      </c>
      <c r="X138">
        <v>14548.06</v>
      </c>
      <c r="Y138">
        <f t="shared" si="2"/>
        <v>2.6955513255016929E-3</v>
      </c>
    </row>
    <row r="139" spans="1:25" x14ac:dyDescent="0.2">
      <c r="A139" t="s">
        <v>372</v>
      </c>
      <c r="B139" t="s">
        <v>373</v>
      </c>
      <c r="C139" t="s">
        <v>374</v>
      </c>
      <c r="D139" t="s">
        <v>7</v>
      </c>
      <c r="E139">
        <v>3705.16</v>
      </c>
      <c r="F139">
        <v>3951.29</v>
      </c>
      <c r="G139">
        <v>4157.5</v>
      </c>
      <c r="H139">
        <v>4698.09</v>
      </c>
      <c r="I139">
        <v>5105.76</v>
      </c>
      <c r="J139">
        <v>5227.05</v>
      </c>
      <c r="K139">
        <v>6005.81</v>
      </c>
      <c r="L139">
        <v>6442.9</v>
      </c>
      <c r="M139">
        <v>6930.67</v>
      </c>
      <c r="N139">
        <v>7273.92</v>
      </c>
      <c r="O139">
        <v>7548.41</v>
      </c>
      <c r="P139">
        <v>7754.56</v>
      </c>
      <c r="Q139">
        <v>8042.4</v>
      </c>
      <c r="R139">
        <v>8383.7199999999993</v>
      </c>
      <c r="S139">
        <v>8761.9699999999993</v>
      </c>
      <c r="T139">
        <v>9203.01</v>
      </c>
      <c r="U139">
        <v>10025.98</v>
      </c>
      <c r="V139">
        <v>11119.83</v>
      </c>
      <c r="W139">
        <v>13037.32</v>
      </c>
      <c r="X139">
        <v>14285.17</v>
      </c>
      <c r="Y139">
        <f t="shared" si="2"/>
        <v>2.646841498352153E-3</v>
      </c>
    </row>
    <row r="140" spans="1:25" x14ac:dyDescent="0.2">
      <c r="A140" t="s">
        <v>411</v>
      </c>
      <c r="B140" t="s">
        <v>412</v>
      </c>
      <c r="C140" t="s">
        <v>413</v>
      </c>
      <c r="D140" t="s">
        <v>7</v>
      </c>
      <c r="E140">
        <v>3634.69</v>
      </c>
      <c r="F140">
        <v>4554.57</v>
      </c>
      <c r="G140">
        <v>6535.32</v>
      </c>
      <c r="H140">
        <v>8612.59</v>
      </c>
      <c r="I140">
        <v>8284.41</v>
      </c>
      <c r="J140">
        <v>7695.08</v>
      </c>
      <c r="K140">
        <v>13339.55</v>
      </c>
      <c r="L140">
        <v>10571.17</v>
      </c>
      <c r="M140">
        <v>9145.7099999999991</v>
      </c>
      <c r="N140">
        <v>10253.33</v>
      </c>
      <c r="O140">
        <v>9796.84</v>
      </c>
      <c r="P140">
        <v>10418.85</v>
      </c>
      <c r="Q140">
        <v>9996.25</v>
      </c>
      <c r="R140">
        <v>10487.13</v>
      </c>
      <c r="S140">
        <v>10602.94</v>
      </c>
      <c r="T140">
        <v>10079.94</v>
      </c>
      <c r="U140">
        <v>11058.35</v>
      </c>
      <c r="V140">
        <v>13048.62</v>
      </c>
      <c r="W140">
        <v>14535.32</v>
      </c>
      <c r="X140">
        <v>14175.76</v>
      </c>
      <c r="Y140">
        <f t="shared" si="2"/>
        <v>2.62656936100029E-3</v>
      </c>
    </row>
    <row r="141" spans="1:25" x14ac:dyDescent="0.2">
      <c r="A141" t="s">
        <v>504</v>
      </c>
      <c r="B141" t="s">
        <v>505</v>
      </c>
      <c r="C141" t="s">
        <v>506</v>
      </c>
      <c r="D141" t="s">
        <v>7</v>
      </c>
      <c r="E141" t="s">
        <v>11</v>
      </c>
      <c r="F141" t="s">
        <v>11</v>
      </c>
      <c r="G141" t="s">
        <v>11</v>
      </c>
      <c r="H141" t="s">
        <v>11</v>
      </c>
      <c r="I141" t="s">
        <v>11</v>
      </c>
      <c r="J141" t="s">
        <v>11</v>
      </c>
      <c r="K141" t="s">
        <v>11</v>
      </c>
      <c r="L141">
        <v>6244.08</v>
      </c>
      <c r="M141" t="s">
        <v>11</v>
      </c>
      <c r="N141">
        <v>6435.01</v>
      </c>
      <c r="O141">
        <v>5871.27</v>
      </c>
      <c r="P141">
        <v>6556.89</v>
      </c>
      <c r="Q141">
        <v>8204.5</v>
      </c>
      <c r="R141">
        <v>10222.24</v>
      </c>
      <c r="S141">
        <v>11393.11</v>
      </c>
      <c r="T141" t="s">
        <v>11</v>
      </c>
      <c r="U141">
        <v>6098.19</v>
      </c>
      <c r="V141">
        <v>12005.36</v>
      </c>
      <c r="W141">
        <v>13675.78</v>
      </c>
      <c r="X141">
        <v>14110.72</v>
      </c>
      <c r="Y141">
        <f t="shared" si="2"/>
        <v>2.6145183618835259E-3</v>
      </c>
    </row>
    <row r="142" spans="1:25" x14ac:dyDescent="0.2">
      <c r="A142" t="s">
        <v>15</v>
      </c>
      <c r="B142" t="s">
        <v>16</v>
      </c>
      <c r="C142" t="s">
        <v>17</v>
      </c>
      <c r="D142" t="s">
        <v>7</v>
      </c>
      <c r="E142">
        <v>1499</v>
      </c>
      <c r="F142">
        <v>1621.97</v>
      </c>
      <c r="G142">
        <v>1899.73</v>
      </c>
      <c r="H142">
        <v>1674.65</v>
      </c>
      <c r="I142">
        <v>2420.64</v>
      </c>
      <c r="J142">
        <v>2055.3000000000002</v>
      </c>
      <c r="K142">
        <v>3416.57</v>
      </c>
      <c r="L142">
        <v>4297.6099999999997</v>
      </c>
      <c r="M142">
        <v>4977.76</v>
      </c>
      <c r="N142">
        <v>4825.8100000000004</v>
      </c>
      <c r="O142">
        <v>6813.35</v>
      </c>
      <c r="P142">
        <v>5812.09</v>
      </c>
      <c r="Q142">
        <v>4694.3</v>
      </c>
      <c r="R142">
        <v>6402.29</v>
      </c>
      <c r="S142">
        <v>7209.51</v>
      </c>
      <c r="T142">
        <v>7041.34</v>
      </c>
      <c r="U142">
        <v>8371.01</v>
      </c>
      <c r="V142">
        <v>12794.95</v>
      </c>
      <c r="W142">
        <v>13207.35</v>
      </c>
      <c r="X142">
        <v>13898.88</v>
      </c>
      <c r="Y142">
        <f t="shared" si="2"/>
        <v>2.5752673832104742E-3</v>
      </c>
    </row>
    <row r="143" spans="1:25" x14ac:dyDescent="0.2">
      <c r="A143" t="s">
        <v>171</v>
      </c>
      <c r="B143" t="s">
        <v>172</v>
      </c>
      <c r="C143" t="s">
        <v>173</v>
      </c>
      <c r="D143" t="s">
        <v>7</v>
      </c>
      <c r="E143">
        <v>1963.23</v>
      </c>
      <c r="F143">
        <v>2301.88</v>
      </c>
      <c r="G143">
        <v>2757.04</v>
      </c>
      <c r="H143">
        <v>3179.76</v>
      </c>
      <c r="I143">
        <v>3309.18</v>
      </c>
      <c r="J143">
        <v>3534.58</v>
      </c>
      <c r="K143">
        <v>4969.1000000000004</v>
      </c>
      <c r="L143">
        <v>6723.74</v>
      </c>
      <c r="M143">
        <v>5690.43</v>
      </c>
      <c r="N143">
        <v>6472.67</v>
      </c>
      <c r="O143">
        <v>7129.13</v>
      </c>
      <c r="P143">
        <v>8083.42</v>
      </c>
      <c r="Q143">
        <v>6904.83</v>
      </c>
      <c r="R143">
        <v>7649.06</v>
      </c>
      <c r="S143">
        <v>7723.65</v>
      </c>
      <c r="T143">
        <v>8182.65</v>
      </c>
      <c r="U143">
        <v>10989.77</v>
      </c>
      <c r="V143">
        <v>12925.64</v>
      </c>
      <c r="W143">
        <v>12184.35</v>
      </c>
      <c r="X143">
        <v>13716.22</v>
      </c>
      <c r="Y143">
        <f t="shared" si="2"/>
        <v>2.5414230489751097E-3</v>
      </c>
    </row>
    <row r="144" spans="1:25" x14ac:dyDescent="0.2">
      <c r="A144" t="s">
        <v>720</v>
      </c>
      <c r="B144" t="s">
        <v>721</v>
      </c>
      <c r="C144" t="s">
        <v>722</v>
      </c>
      <c r="D144" t="s">
        <v>7</v>
      </c>
      <c r="E144">
        <v>778.21</v>
      </c>
      <c r="F144">
        <v>856.54</v>
      </c>
      <c r="G144">
        <v>1142.0999999999999</v>
      </c>
      <c r="H144">
        <v>2191.31</v>
      </c>
      <c r="I144">
        <v>2255.09</v>
      </c>
      <c r="J144">
        <v>3130.96</v>
      </c>
      <c r="K144">
        <v>3407.21</v>
      </c>
      <c r="L144">
        <v>3428.4</v>
      </c>
      <c r="M144">
        <v>4159.99</v>
      </c>
      <c r="N144">
        <v>5042.6099999999997</v>
      </c>
      <c r="O144">
        <v>5282.84</v>
      </c>
      <c r="P144">
        <v>6070.64</v>
      </c>
      <c r="Q144">
        <v>7040.72</v>
      </c>
      <c r="R144">
        <v>6917.14</v>
      </c>
      <c r="S144">
        <v>8207.64</v>
      </c>
      <c r="T144">
        <v>9023.2999999999993</v>
      </c>
      <c r="U144">
        <v>9860.7000000000007</v>
      </c>
      <c r="V144">
        <v>10352.629999999999</v>
      </c>
      <c r="W144">
        <v>12652.41</v>
      </c>
      <c r="X144">
        <v>13423.64</v>
      </c>
      <c r="Y144">
        <f t="shared" si="2"/>
        <v>2.4872120815460992E-3</v>
      </c>
    </row>
    <row r="145" spans="1:25" x14ac:dyDescent="0.2">
      <c r="A145" t="s">
        <v>201</v>
      </c>
      <c r="B145" t="s">
        <v>202</v>
      </c>
      <c r="C145" t="s">
        <v>203</v>
      </c>
      <c r="D145" t="s">
        <v>7</v>
      </c>
      <c r="E145">
        <v>4152.8900000000003</v>
      </c>
      <c r="F145">
        <v>5020.2700000000004</v>
      </c>
      <c r="G145">
        <v>6719.92</v>
      </c>
      <c r="H145">
        <v>7596.96</v>
      </c>
      <c r="I145">
        <v>6753.93</v>
      </c>
      <c r="J145">
        <v>6403.37</v>
      </c>
      <c r="K145">
        <v>7678.5</v>
      </c>
      <c r="L145">
        <v>6642.36</v>
      </c>
      <c r="M145">
        <v>5936.29</v>
      </c>
      <c r="N145">
        <v>6185.79</v>
      </c>
      <c r="O145">
        <v>5886.76</v>
      </c>
      <c r="P145">
        <v>5939.97</v>
      </c>
      <c r="Q145">
        <v>6449.25</v>
      </c>
      <c r="R145">
        <v>7427.6</v>
      </c>
      <c r="S145">
        <v>8196.84</v>
      </c>
      <c r="T145">
        <v>9006.7199999999993</v>
      </c>
      <c r="U145">
        <v>10007.77</v>
      </c>
      <c r="V145">
        <v>11438.41</v>
      </c>
      <c r="W145">
        <v>12297.77</v>
      </c>
      <c r="X145">
        <v>13294.26</v>
      </c>
      <c r="Y145">
        <f t="shared" si="2"/>
        <v>2.4632397834875672E-3</v>
      </c>
    </row>
    <row r="146" spans="1:25" x14ac:dyDescent="0.2">
      <c r="A146" t="s">
        <v>321</v>
      </c>
      <c r="B146" t="s">
        <v>322</v>
      </c>
      <c r="C146" t="s">
        <v>323</v>
      </c>
      <c r="D146" t="s">
        <v>7</v>
      </c>
      <c r="E146">
        <v>1451.54</v>
      </c>
      <c r="F146">
        <v>1524.67</v>
      </c>
      <c r="G146">
        <v>1933.45</v>
      </c>
      <c r="H146">
        <v>2447.9899999999998</v>
      </c>
      <c r="I146">
        <v>2090.25</v>
      </c>
      <c r="J146">
        <v>1936.89</v>
      </c>
      <c r="K146">
        <v>4298.17</v>
      </c>
      <c r="L146">
        <v>4476.51</v>
      </c>
      <c r="M146">
        <v>4909.79</v>
      </c>
      <c r="N146">
        <v>5519.73</v>
      </c>
      <c r="O146">
        <v>7388.8</v>
      </c>
      <c r="P146">
        <v>5252.68</v>
      </c>
      <c r="Q146">
        <v>5828.39</v>
      </c>
      <c r="R146">
        <v>7200.25</v>
      </c>
      <c r="S146">
        <v>10341</v>
      </c>
      <c r="T146">
        <v>11302.34</v>
      </c>
      <c r="U146">
        <v>10852.96</v>
      </c>
      <c r="V146">
        <v>12423.58</v>
      </c>
      <c r="W146">
        <v>11136.12</v>
      </c>
      <c r="X146">
        <v>13189.03</v>
      </c>
      <c r="Y146">
        <f t="shared" si="2"/>
        <v>2.4437421414663946E-3</v>
      </c>
    </row>
    <row r="147" spans="1:25" x14ac:dyDescent="0.2">
      <c r="A147" t="s">
        <v>27</v>
      </c>
      <c r="B147" t="s">
        <v>28</v>
      </c>
      <c r="C147" t="s">
        <v>29</v>
      </c>
      <c r="D147" t="s">
        <v>7</v>
      </c>
      <c r="E147" t="s">
        <v>11</v>
      </c>
      <c r="F147" t="s">
        <v>11</v>
      </c>
      <c r="G147" t="s">
        <v>11</v>
      </c>
      <c r="H147" t="s">
        <v>11</v>
      </c>
      <c r="I147" t="s">
        <v>11</v>
      </c>
      <c r="J147" t="s">
        <v>11</v>
      </c>
      <c r="K147" t="s">
        <v>11</v>
      </c>
      <c r="L147" t="s">
        <v>11</v>
      </c>
      <c r="M147" t="s">
        <v>11</v>
      </c>
      <c r="N147" t="s">
        <v>11</v>
      </c>
      <c r="O147" t="s">
        <v>11</v>
      </c>
      <c r="P147" t="s">
        <v>11</v>
      </c>
      <c r="Q147" t="s">
        <v>11</v>
      </c>
      <c r="R147">
        <v>9822.07</v>
      </c>
      <c r="S147">
        <v>9310.4599999999991</v>
      </c>
      <c r="T147">
        <v>8803.11</v>
      </c>
      <c r="U147">
        <v>9814.09</v>
      </c>
      <c r="V147">
        <v>13989</v>
      </c>
      <c r="W147">
        <v>13933.58</v>
      </c>
      <c r="X147">
        <v>13039.3</v>
      </c>
      <c r="Y147">
        <f t="shared" si="2"/>
        <v>2.4159992740347665E-3</v>
      </c>
    </row>
    <row r="148" spans="1:25" x14ac:dyDescent="0.2">
      <c r="A148" t="s">
        <v>693</v>
      </c>
      <c r="B148" t="s">
        <v>694</v>
      </c>
      <c r="C148" t="s">
        <v>695</v>
      </c>
      <c r="D148" t="s">
        <v>7</v>
      </c>
      <c r="E148">
        <v>1967.7</v>
      </c>
      <c r="F148">
        <v>2200.84</v>
      </c>
      <c r="G148">
        <v>2525.5700000000002</v>
      </c>
      <c r="H148">
        <v>3171.56</v>
      </c>
      <c r="I148">
        <v>3381.2</v>
      </c>
      <c r="J148">
        <v>3596.04</v>
      </c>
      <c r="K148">
        <v>3676.25</v>
      </c>
      <c r="L148">
        <v>3977.11</v>
      </c>
      <c r="M148">
        <v>4120.78</v>
      </c>
      <c r="N148">
        <v>4393.45</v>
      </c>
      <c r="O148">
        <v>4665.6099999999997</v>
      </c>
      <c r="P148">
        <v>5104.1099999999997</v>
      </c>
      <c r="Q148">
        <v>5960.47</v>
      </c>
      <c r="R148">
        <v>7257.99</v>
      </c>
      <c r="S148">
        <v>7540.63</v>
      </c>
      <c r="T148">
        <v>8129.31</v>
      </c>
      <c r="U148">
        <v>8677.1</v>
      </c>
      <c r="V148">
        <v>10175.41</v>
      </c>
      <c r="W148">
        <v>11935.58</v>
      </c>
      <c r="X148">
        <v>12803.11</v>
      </c>
      <c r="Y148">
        <f t="shared" si="2"/>
        <v>2.3722365821314995E-3</v>
      </c>
    </row>
    <row r="149" spans="1:25" x14ac:dyDescent="0.2">
      <c r="A149" t="s">
        <v>117</v>
      </c>
      <c r="B149" t="s">
        <v>118</v>
      </c>
      <c r="C149" t="s">
        <v>119</v>
      </c>
      <c r="D149" t="s">
        <v>7</v>
      </c>
      <c r="E149">
        <v>3842.8</v>
      </c>
      <c r="F149">
        <v>4316.2</v>
      </c>
      <c r="G149">
        <v>4697.79</v>
      </c>
      <c r="H149">
        <v>4499.1400000000003</v>
      </c>
      <c r="I149">
        <v>4520.1899999999996</v>
      </c>
      <c r="J149">
        <v>4917.8</v>
      </c>
      <c r="K149">
        <v>5956.66</v>
      </c>
      <c r="L149">
        <v>6190.13</v>
      </c>
      <c r="M149">
        <v>6713.62</v>
      </c>
      <c r="N149">
        <v>7414.12</v>
      </c>
      <c r="O149">
        <v>8061.94</v>
      </c>
      <c r="P149">
        <v>9470.24</v>
      </c>
      <c r="Q149">
        <v>9953.2999999999993</v>
      </c>
      <c r="R149">
        <v>10322.030000000001</v>
      </c>
      <c r="S149">
        <v>10587.39</v>
      </c>
      <c r="T149">
        <v>10834.77</v>
      </c>
      <c r="U149">
        <v>12595.03</v>
      </c>
      <c r="V149">
        <v>13634.69</v>
      </c>
      <c r="W149">
        <v>13436.76</v>
      </c>
      <c r="X149">
        <v>12670.61</v>
      </c>
      <c r="Y149">
        <f t="shared" si="2"/>
        <v>2.347686191864414E-3</v>
      </c>
    </row>
    <row r="150" spans="1:25" x14ac:dyDescent="0.2">
      <c r="A150" t="s">
        <v>480</v>
      </c>
      <c r="B150" t="s">
        <v>481</v>
      </c>
      <c r="C150" t="s">
        <v>482</v>
      </c>
      <c r="D150" t="s">
        <v>7</v>
      </c>
      <c r="E150">
        <v>8352.14</v>
      </c>
      <c r="F150">
        <v>8737.11</v>
      </c>
      <c r="G150">
        <v>9197.3799999999992</v>
      </c>
      <c r="H150">
        <v>9441.33</v>
      </c>
      <c r="I150">
        <v>7997.59</v>
      </c>
      <c r="J150">
        <v>8226.94</v>
      </c>
      <c r="K150">
        <v>9064.42</v>
      </c>
      <c r="L150">
        <v>8599.9699999999993</v>
      </c>
      <c r="M150">
        <v>8389.2000000000007</v>
      </c>
      <c r="N150">
        <v>8020.11</v>
      </c>
      <c r="O150">
        <v>7695.65</v>
      </c>
      <c r="P150">
        <v>7277.47</v>
      </c>
      <c r="Q150">
        <v>7966.29</v>
      </c>
      <c r="R150">
        <v>8636.5400000000009</v>
      </c>
      <c r="S150">
        <v>8563.68</v>
      </c>
      <c r="T150">
        <v>7527.77</v>
      </c>
      <c r="U150">
        <v>8153.07</v>
      </c>
      <c r="V150">
        <v>10752.12</v>
      </c>
      <c r="W150">
        <v>13420.65</v>
      </c>
      <c r="X150">
        <v>12452.67</v>
      </c>
      <c r="Y150">
        <f t="shared" si="2"/>
        <v>2.3073049688092551E-3</v>
      </c>
    </row>
    <row r="151" spans="1:25" x14ac:dyDescent="0.2">
      <c r="A151" t="s">
        <v>90</v>
      </c>
      <c r="B151" t="s">
        <v>91</v>
      </c>
      <c r="C151" t="s">
        <v>92</v>
      </c>
      <c r="D151" t="s">
        <v>7</v>
      </c>
      <c r="E151">
        <v>4401.6400000000003</v>
      </c>
      <c r="F151">
        <v>5228.4799999999996</v>
      </c>
      <c r="G151">
        <v>6528.77</v>
      </c>
      <c r="H151">
        <v>6358.25</v>
      </c>
      <c r="I151">
        <v>6742.42</v>
      </c>
      <c r="J151">
        <v>5278.1</v>
      </c>
      <c r="K151">
        <v>6749.43</v>
      </c>
      <c r="L151">
        <v>6869.49</v>
      </c>
      <c r="M151">
        <v>6835.42</v>
      </c>
      <c r="N151">
        <v>6422.4</v>
      </c>
      <c r="O151">
        <v>5983.79</v>
      </c>
      <c r="P151">
        <v>7127.22</v>
      </c>
      <c r="Q151">
        <v>7037.79</v>
      </c>
      <c r="R151">
        <v>7445.21</v>
      </c>
      <c r="S151">
        <v>8047.75</v>
      </c>
      <c r="T151">
        <v>8209.2999999999993</v>
      </c>
      <c r="U151">
        <v>8945.77</v>
      </c>
      <c r="V151">
        <v>12583.48</v>
      </c>
      <c r="W151">
        <v>12376.84</v>
      </c>
      <c r="X151">
        <v>11851.48</v>
      </c>
      <c r="Y151">
        <f t="shared" si="2"/>
        <v>2.1959128999438277E-3</v>
      </c>
    </row>
    <row r="152" spans="1:25" x14ac:dyDescent="0.2">
      <c r="A152" t="s">
        <v>666</v>
      </c>
      <c r="B152" t="s">
        <v>667</v>
      </c>
      <c r="C152" t="s">
        <v>668</v>
      </c>
      <c r="D152" t="s">
        <v>7</v>
      </c>
      <c r="E152">
        <v>1214.9000000000001</v>
      </c>
      <c r="F152">
        <v>1261.8599999999999</v>
      </c>
      <c r="G152" t="s">
        <v>11</v>
      </c>
      <c r="H152">
        <v>2019.82</v>
      </c>
      <c r="I152">
        <v>2369.0700000000002</v>
      </c>
      <c r="J152">
        <v>2673.92</v>
      </c>
      <c r="K152">
        <v>2770.13</v>
      </c>
      <c r="L152">
        <v>3038.69</v>
      </c>
      <c r="M152">
        <v>3119.2</v>
      </c>
      <c r="N152">
        <v>3292.61</v>
      </c>
      <c r="O152">
        <v>4152.41</v>
      </c>
      <c r="P152">
        <v>4563.2700000000004</v>
      </c>
      <c r="Q152">
        <v>4953.99</v>
      </c>
      <c r="R152">
        <v>5927.58</v>
      </c>
      <c r="S152">
        <v>6824.81</v>
      </c>
      <c r="T152">
        <v>6083.98</v>
      </c>
      <c r="U152">
        <v>7868.85</v>
      </c>
      <c r="V152">
        <v>10212.33</v>
      </c>
      <c r="W152">
        <v>11180.25</v>
      </c>
      <c r="X152">
        <v>11743.52</v>
      </c>
      <c r="Y152">
        <f t="shared" si="2"/>
        <v>2.1759094272401709E-3</v>
      </c>
    </row>
    <row r="153" spans="1:25" x14ac:dyDescent="0.2">
      <c r="A153" t="s">
        <v>558</v>
      </c>
      <c r="B153" t="s">
        <v>559</v>
      </c>
      <c r="C153" t="s">
        <v>560</v>
      </c>
      <c r="D153" t="s">
        <v>7</v>
      </c>
      <c r="E153">
        <v>3328.22</v>
      </c>
      <c r="F153">
        <v>3600.55</v>
      </c>
      <c r="G153">
        <v>4409.7299999999996</v>
      </c>
      <c r="H153">
        <v>8816.83</v>
      </c>
      <c r="I153">
        <v>9228.4</v>
      </c>
      <c r="J153">
        <v>9662.16</v>
      </c>
      <c r="K153">
        <v>9904.93</v>
      </c>
      <c r="L153">
        <v>10122.299999999999</v>
      </c>
      <c r="M153">
        <v>10519.14</v>
      </c>
      <c r="N153">
        <v>9516.91</v>
      </c>
      <c r="O153">
        <v>9652.48</v>
      </c>
      <c r="P153">
        <v>9856.61</v>
      </c>
      <c r="Q153">
        <v>12697.12</v>
      </c>
      <c r="R153">
        <v>13379.57</v>
      </c>
      <c r="S153">
        <v>14405.08</v>
      </c>
      <c r="T153">
        <v>14575.34</v>
      </c>
      <c r="U153">
        <v>15125.37</v>
      </c>
      <c r="V153">
        <v>13702.89</v>
      </c>
      <c r="W153">
        <v>12813.77</v>
      </c>
      <c r="X153">
        <v>11455.44</v>
      </c>
      <c r="Y153">
        <f t="shared" si="2"/>
        <v>2.1225322466504205E-3</v>
      </c>
    </row>
    <row r="154" spans="1:25" x14ac:dyDescent="0.2">
      <c r="A154" t="s">
        <v>756</v>
      </c>
      <c r="B154" t="s">
        <v>757</v>
      </c>
      <c r="C154" t="s">
        <v>758</v>
      </c>
      <c r="D154" t="s">
        <v>7</v>
      </c>
      <c r="E154">
        <v>779.88</v>
      </c>
      <c r="F154">
        <v>992.33</v>
      </c>
      <c r="G154">
        <v>1189.77</v>
      </c>
      <c r="H154">
        <v>1248.77</v>
      </c>
      <c r="I154">
        <v>1763.28</v>
      </c>
      <c r="J154">
        <v>2015.76</v>
      </c>
      <c r="K154">
        <v>2144.63</v>
      </c>
      <c r="L154">
        <v>2821.87</v>
      </c>
      <c r="M154">
        <v>3094.32</v>
      </c>
      <c r="N154">
        <v>3376.31</v>
      </c>
      <c r="O154">
        <v>3624.07</v>
      </c>
      <c r="P154">
        <v>3980.02</v>
      </c>
      <c r="Q154">
        <v>4200.33</v>
      </c>
      <c r="R154">
        <v>4403.12</v>
      </c>
      <c r="S154">
        <v>5230.3</v>
      </c>
      <c r="T154">
        <v>6304.73</v>
      </c>
      <c r="U154">
        <v>8516.16</v>
      </c>
      <c r="V154">
        <v>8319.58</v>
      </c>
      <c r="W154">
        <v>9461.35</v>
      </c>
      <c r="X154">
        <v>11427.2</v>
      </c>
      <c r="Y154">
        <f t="shared" si="2"/>
        <v>2.1172997710191565E-3</v>
      </c>
    </row>
    <row r="155" spans="1:25" x14ac:dyDescent="0.2">
      <c r="A155" t="s">
        <v>465</v>
      </c>
      <c r="B155" t="s">
        <v>466</v>
      </c>
      <c r="C155" t="s">
        <v>467</v>
      </c>
      <c r="D155" t="s">
        <v>7</v>
      </c>
      <c r="E155">
        <v>1799.79</v>
      </c>
      <c r="F155">
        <v>2147.8200000000002</v>
      </c>
      <c r="G155">
        <v>2583.9299999999998</v>
      </c>
      <c r="H155">
        <v>3103.47</v>
      </c>
      <c r="I155">
        <v>3228.04</v>
      </c>
      <c r="J155">
        <v>9925.68</v>
      </c>
      <c r="K155">
        <v>11002.35</v>
      </c>
      <c r="L155">
        <v>10683.09</v>
      </c>
      <c r="M155">
        <v>10783.26</v>
      </c>
      <c r="N155">
        <v>6675.52</v>
      </c>
      <c r="O155">
        <v>7131.52</v>
      </c>
      <c r="P155">
        <v>7897.84</v>
      </c>
      <c r="Q155">
        <v>8700.77</v>
      </c>
      <c r="R155">
        <v>8956.9</v>
      </c>
      <c r="S155">
        <v>8859.92</v>
      </c>
      <c r="T155">
        <v>8188.92</v>
      </c>
      <c r="U155">
        <v>9923</v>
      </c>
      <c r="V155">
        <v>10840.23</v>
      </c>
      <c r="W155">
        <v>10624.11</v>
      </c>
      <c r="X155">
        <v>11202.46</v>
      </c>
      <c r="Y155">
        <f t="shared" si="2"/>
        <v>2.0756586034068937E-3</v>
      </c>
    </row>
    <row r="156" spans="1:25" x14ac:dyDescent="0.2">
      <c r="A156" t="s">
        <v>477</v>
      </c>
      <c r="B156" t="s">
        <v>478</v>
      </c>
      <c r="C156" t="s">
        <v>479</v>
      </c>
      <c r="D156" t="s">
        <v>7</v>
      </c>
      <c r="E156" t="s">
        <v>11</v>
      </c>
      <c r="F156" t="s">
        <v>11</v>
      </c>
      <c r="G156" t="s">
        <v>11</v>
      </c>
      <c r="H156" t="s">
        <v>11</v>
      </c>
      <c r="I156" t="s">
        <v>11</v>
      </c>
      <c r="J156">
        <v>3272.11</v>
      </c>
      <c r="K156">
        <v>3471.08</v>
      </c>
      <c r="L156">
        <v>3411.51</v>
      </c>
      <c r="M156">
        <v>3533.2</v>
      </c>
      <c r="N156">
        <v>3559.56</v>
      </c>
      <c r="O156">
        <v>4569.75</v>
      </c>
      <c r="P156">
        <v>4933.51</v>
      </c>
      <c r="Q156">
        <v>5176.3999999999996</v>
      </c>
      <c r="R156">
        <v>5480.81</v>
      </c>
      <c r="S156">
        <v>5806.83</v>
      </c>
      <c r="T156">
        <v>5382.2</v>
      </c>
      <c r="U156">
        <v>6136.49</v>
      </c>
      <c r="V156">
        <v>7762.45</v>
      </c>
      <c r="W156">
        <v>9873.2999999999993</v>
      </c>
      <c r="X156">
        <v>11034.54</v>
      </c>
      <c r="Y156">
        <f t="shared" si="2"/>
        <v>2.0445453842850149E-3</v>
      </c>
    </row>
    <row r="157" spans="1:25" x14ac:dyDescent="0.2">
      <c r="A157" t="s">
        <v>681</v>
      </c>
      <c r="B157" t="s">
        <v>682</v>
      </c>
      <c r="C157" t="s">
        <v>683</v>
      </c>
      <c r="D157" t="s">
        <v>7</v>
      </c>
      <c r="E157">
        <v>173.52</v>
      </c>
      <c r="F157">
        <v>347.45</v>
      </c>
      <c r="G157">
        <v>513.99</v>
      </c>
      <c r="H157">
        <v>770.38</v>
      </c>
      <c r="I157">
        <v>813.92</v>
      </c>
      <c r="J157">
        <v>1091.9100000000001</v>
      </c>
      <c r="K157">
        <v>2617.33</v>
      </c>
      <c r="L157">
        <v>2523.9499999999998</v>
      </c>
      <c r="M157">
        <v>3406.69</v>
      </c>
      <c r="N157">
        <v>4317.91</v>
      </c>
      <c r="O157">
        <v>5172.37</v>
      </c>
      <c r="P157">
        <v>5877.41</v>
      </c>
      <c r="Q157">
        <v>7363.25</v>
      </c>
      <c r="R157">
        <v>7724.19</v>
      </c>
      <c r="S157">
        <v>7159.88</v>
      </c>
      <c r="T157">
        <v>6000.97</v>
      </c>
      <c r="U157">
        <v>7180.48</v>
      </c>
      <c r="V157">
        <v>8715.93</v>
      </c>
      <c r="W157">
        <v>10018.870000000001</v>
      </c>
      <c r="X157">
        <v>10631.67</v>
      </c>
      <c r="Y157">
        <f t="shared" si="2"/>
        <v>1.9698992278555758E-3</v>
      </c>
    </row>
    <row r="158" spans="1:25" x14ac:dyDescent="0.2">
      <c r="A158" t="s">
        <v>63</v>
      </c>
      <c r="B158" t="s">
        <v>64</v>
      </c>
      <c r="C158" t="s">
        <v>65</v>
      </c>
      <c r="D158" t="s">
        <v>7</v>
      </c>
      <c r="E158">
        <v>2439.0700000000002</v>
      </c>
      <c r="F158">
        <v>2895.21</v>
      </c>
      <c r="G158">
        <v>4264.6899999999996</v>
      </c>
      <c r="H158">
        <v>4660.66</v>
      </c>
      <c r="I158">
        <v>4229.22</v>
      </c>
      <c r="J158">
        <v>4925.6899999999996</v>
      </c>
      <c r="K158">
        <v>6457.88</v>
      </c>
      <c r="L158">
        <v>5382.04</v>
      </c>
      <c r="M158">
        <v>4720.79</v>
      </c>
      <c r="N158">
        <v>4908.3599999999997</v>
      </c>
      <c r="O158">
        <v>4947.83</v>
      </c>
      <c r="P158">
        <v>4644.3999999999996</v>
      </c>
      <c r="Q158">
        <v>5155.03</v>
      </c>
      <c r="R158">
        <v>6251.85</v>
      </c>
      <c r="S158">
        <v>6253.09</v>
      </c>
      <c r="T158">
        <v>6066.82</v>
      </c>
      <c r="U158">
        <v>6506.39</v>
      </c>
      <c r="V158">
        <v>8548.9500000000007</v>
      </c>
      <c r="W158">
        <v>9595.2999999999993</v>
      </c>
      <c r="X158">
        <v>10475.51</v>
      </c>
      <c r="Y158">
        <f t="shared" si="2"/>
        <v>1.9409649716736282E-3</v>
      </c>
    </row>
    <row r="159" spans="1:25" x14ac:dyDescent="0.2">
      <c r="A159" t="s">
        <v>606</v>
      </c>
      <c r="B159" t="s">
        <v>607</v>
      </c>
      <c r="C159" t="s">
        <v>608</v>
      </c>
      <c r="D159" t="s">
        <v>7</v>
      </c>
      <c r="E159" t="s">
        <v>11</v>
      </c>
      <c r="F159" t="s">
        <v>11</v>
      </c>
      <c r="G159">
        <v>553.42999999999995</v>
      </c>
      <c r="H159">
        <v>1446.02</v>
      </c>
      <c r="I159" t="s">
        <v>11</v>
      </c>
      <c r="J159">
        <v>2644.16</v>
      </c>
      <c r="K159" t="s">
        <v>11</v>
      </c>
      <c r="L159">
        <v>2756.83</v>
      </c>
      <c r="M159" t="s">
        <v>11</v>
      </c>
      <c r="N159">
        <v>3150.36</v>
      </c>
      <c r="O159" t="s">
        <v>11</v>
      </c>
      <c r="P159" t="s">
        <v>11</v>
      </c>
      <c r="Q159" t="s">
        <v>11</v>
      </c>
      <c r="R159">
        <v>5519.99</v>
      </c>
      <c r="S159">
        <v>5990.18</v>
      </c>
      <c r="T159">
        <v>6062.04</v>
      </c>
      <c r="U159">
        <v>6416.73</v>
      </c>
      <c r="V159">
        <v>7327.27</v>
      </c>
      <c r="W159">
        <v>8578.2900000000009</v>
      </c>
      <c r="X159">
        <v>10034</v>
      </c>
      <c r="Y159">
        <f t="shared" si="2"/>
        <v>1.8591593655844139E-3</v>
      </c>
    </row>
    <row r="160" spans="1:25" x14ac:dyDescent="0.2">
      <c r="A160" t="s">
        <v>258</v>
      </c>
      <c r="B160" t="s">
        <v>259</v>
      </c>
      <c r="C160" t="s">
        <v>260</v>
      </c>
      <c r="D160" t="s">
        <v>7</v>
      </c>
      <c r="E160">
        <v>3412.98</v>
      </c>
      <c r="F160">
        <v>3599.1</v>
      </c>
      <c r="G160">
        <v>3921.09</v>
      </c>
      <c r="H160">
        <v>4239.1899999999996</v>
      </c>
      <c r="I160">
        <v>4951.8999999999996</v>
      </c>
      <c r="J160">
        <v>4491.1499999999996</v>
      </c>
      <c r="K160">
        <v>5301.57</v>
      </c>
      <c r="L160">
        <v>6704.98</v>
      </c>
      <c r="M160">
        <v>6112.37</v>
      </c>
      <c r="N160">
        <v>7105.7</v>
      </c>
      <c r="O160">
        <v>7952.22</v>
      </c>
      <c r="P160">
        <v>8131.49</v>
      </c>
      <c r="Q160">
        <v>7259.43</v>
      </c>
      <c r="R160">
        <v>6745</v>
      </c>
      <c r="S160">
        <v>6579.95</v>
      </c>
      <c r="T160">
        <v>7142.87</v>
      </c>
      <c r="U160">
        <v>8257.7800000000007</v>
      </c>
      <c r="V160">
        <v>11682.94</v>
      </c>
      <c r="W160">
        <v>9682.0499999999993</v>
      </c>
      <c r="X160">
        <v>9744.7999999999993</v>
      </c>
      <c r="Y160">
        <f t="shared" si="2"/>
        <v>1.8055746647146697E-3</v>
      </c>
    </row>
    <row r="161" spans="1:25" x14ac:dyDescent="0.2">
      <c r="A161" t="s">
        <v>369</v>
      </c>
      <c r="B161" t="s">
        <v>370</v>
      </c>
      <c r="C161" t="s">
        <v>371</v>
      </c>
      <c r="D161" t="s">
        <v>7</v>
      </c>
      <c r="E161" t="s">
        <v>11</v>
      </c>
      <c r="F161" t="s">
        <v>11</v>
      </c>
      <c r="G161" t="s">
        <v>11</v>
      </c>
      <c r="H161" t="s">
        <v>11</v>
      </c>
      <c r="I161">
        <v>4539.16</v>
      </c>
      <c r="J161">
        <v>5495.79</v>
      </c>
      <c r="K161">
        <v>5481.14</v>
      </c>
      <c r="L161">
        <v>5919.2</v>
      </c>
      <c r="M161">
        <v>6182.02</v>
      </c>
      <c r="N161">
        <v>6371.66</v>
      </c>
      <c r="O161">
        <v>6511.63</v>
      </c>
      <c r="P161">
        <v>6960.07</v>
      </c>
      <c r="Q161">
        <v>7254.59</v>
      </c>
      <c r="R161">
        <v>7575.12</v>
      </c>
      <c r="S161">
        <v>7699.11</v>
      </c>
      <c r="T161">
        <v>7796.18</v>
      </c>
      <c r="U161">
        <v>8244.44</v>
      </c>
      <c r="V161">
        <v>8819.2199999999993</v>
      </c>
      <c r="W161">
        <v>8292</v>
      </c>
      <c r="X161">
        <v>9573.86</v>
      </c>
      <c r="Y161">
        <f t="shared" si="2"/>
        <v>1.7739018819806656E-3</v>
      </c>
    </row>
    <row r="162" spans="1:25" x14ac:dyDescent="0.2">
      <c r="A162" t="s">
        <v>378</v>
      </c>
      <c r="B162" t="s">
        <v>379</v>
      </c>
      <c r="C162" t="s">
        <v>380</v>
      </c>
      <c r="D162" t="s">
        <v>7</v>
      </c>
      <c r="E162">
        <v>579.05999999999995</v>
      </c>
      <c r="F162">
        <v>700.61</v>
      </c>
      <c r="G162">
        <v>913.19</v>
      </c>
      <c r="H162">
        <v>1206.95</v>
      </c>
      <c r="I162">
        <v>1411.73</v>
      </c>
      <c r="J162">
        <v>1771.33</v>
      </c>
      <c r="K162">
        <v>1801.66</v>
      </c>
      <c r="L162">
        <v>1951.52</v>
      </c>
      <c r="M162">
        <v>2133.86</v>
      </c>
      <c r="N162">
        <v>2234.2199999999998</v>
      </c>
      <c r="O162">
        <v>2592.83</v>
      </c>
      <c r="P162">
        <v>2832.04</v>
      </c>
      <c r="Q162">
        <v>3142.93</v>
      </c>
      <c r="R162">
        <v>3388.85</v>
      </c>
      <c r="S162">
        <v>4075.8</v>
      </c>
      <c r="T162">
        <v>6383.59</v>
      </c>
      <c r="U162">
        <v>7789.4</v>
      </c>
      <c r="V162">
        <v>8752.31</v>
      </c>
      <c r="W162">
        <v>8872.58</v>
      </c>
      <c r="X162">
        <v>9516.19</v>
      </c>
      <c r="Y162">
        <f t="shared" si="2"/>
        <v>1.7632164404206444E-3</v>
      </c>
    </row>
    <row r="163" spans="1:25" x14ac:dyDescent="0.2">
      <c r="A163" t="s">
        <v>264</v>
      </c>
      <c r="B163" t="s">
        <v>265</v>
      </c>
      <c r="C163" t="s">
        <v>266</v>
      </c>
      <c r="D163" t="s">
        <v>7</v>
      </c>
      <c r="E163">
        <v>1607.88</v>
      </c>
      <c r="F163">
        <v>1763.06</v>
      </c>
      <c r="G163">
        <v>2051.67</v>
      </c>
      <c r="H163">
        <v>2245.2800000000002</v>
      </c>
      <c r="I163">
        <v>2063.39</v>
      </c>
      <c r="J163">
        <v>2355.8200000000002</v>
      </c>
      <c r="K163">
        <v>2126.0300000000002</v>
      </c>
      <c r="L163">
        <v>2212.25</v>
      </c>
      <c r="M163">
        <v>2274.89</v>
      </c>
      <c r="N163">
        <v>3405.06</v>
      </c>
      <c r="O163">
        <v>3592.08</v>
      </c>
      <c r="P163">
        <v>6008.9</v>
      </c>
      <c r="Q163">
        <v>6558.93</v>
      </c>
      <c r="R163">
        <v>7206.29</v>
      </c>
      <c r="S163">
        <v>7384.94</v>
      </c>
      <c r="T163">
        <v>7119.05</v>
      </c>
      <c r="U163">
        <v>7959.21</v>
      </c>
      <c r="V163">
        <v>10093.31</v>
      </c>
      <c r="W163">
        <v>11284.03</v>
      </c>
      <c r="X163">
        <v>9405.94</v>
      </c>
      <c r="Y163">
        <f t="shared" si="2"/>
        <v>1.7427886628587864E-3</v>
      </c>
    </row>
    <row r="164" spans="1:25" x14ac:dyDescent="0.2">
      <c r="A164" t="s">
        <v>285</v>
      </c>
      <c r="B164" t="s">
        <v>286</v>
      </c>
      <c r="C164" t="s">
        <v>287</v>
      </c>
      <c r="D164" t="s">
        <v>7</v>
      </c>
      <c r="E164">
        <v>3452.14</v>
      </c>
      <c r="F164">
        <v>4193.49</v>
      </c>
      <c r="G164">
        <v>4972.2</v>
      </c>
      <c r="H164" t="s">
        <v>11</v>
      </c>
      <c r="I164" t="s">
        <v>11</v>
      </c>
      <c r="J164">
        <v>5393.58</v>
      </c>
      <c r="K164">
        <v>5815.3</v>
      </c>
      <c r="L164">
        <v>6227.84</v>
      </c>
      <c r="M164">
        <v>6652.51</v>
      </c>
      <c r="N164">
        <v>7200.01</v>
      </c>
      <c r="O164">
        <v>9420.07</v>
      </c>
      <c r="P164">
        <v>10031.049999999999</v>
      </c>
      <c r="Q164">
        <v>10492.54</v>
      </c>
      <c r="R164">
        <v>10644.84</v>
      </c>
      <c r="S164">
        <v>10360.98</v>
      </c>
      <c r="T164">
        <v>10415.469999999999</v>
      </c>
      <c r="U164">
        <v>11863.94</v>
      </c>
      <c r="V164">
        <v>13429.35</v>
      </c>
      <c r="W164">
        <v>11887.44</v>
      </c>
      <c r="X164">
        <v>9381.6299999999992</v>
      </c>
      <c r="Y164">
        <f t="shared" si="2"/>
        <v>1.738284361067142E-3</v>
      </c>
    </row>
    <row r="165" spans="1:25" x14ac:dyDescent="0.2">
      <c r="A165" t="s">
        <v>348</v>
      </c>
      <c r="B165" t="s">
        <v>349</v>
      </c>
      <c r="C165" t="s">
        <v>350</v>
      </c>
      <c r="D165" t="s">
        <v>7</v>
      </c>
      <c r="E165">
        <v>1301.43</v>
      </c>
      <c r="F165">
        <v>1496.13</v>
      </c>
      <c r="G165">
        <v>1652.48</v>
      </c>
      <c r="H165">
        <v>2038.64</v>
      </c>
      <c r="I165">
        <v>2083.96</v>
      </c>
      <c r="J165">
        <v>2400.85</v>
      </c>
      <c r="K165">
        <v>2732.69</v>
      </c>
      <c r="L165">
        <v>3191.27</v>
      </c>
      <c r="M165">
        <v>3153.55</v>
      </c>
      <c r="N165">
        <v>3598.52</v>
      </c>
      <c r="O165">
        <v>3654.6</v>
      </c>
      <c r="P165">
        <v>3931.69</v>
      </c>
      <c r="Q165">
        <v>4173.33</v>
      </c>
      <c r="R165">
        <v>4918.78</v>
      </c>
      <c r="S165">
        <v>5515.51</v>
      </c>
      <c r="T165">
        <v>5619.21</v>
      </c>
      <c r="U165">
        <v>6902.27</v>
      </c>
      <c r="V165">
        <v>8072.28</v>
      </c>
      <c r="W165">
        <v>8660.56</v>
      </c>
      <c r="X165">
        <v>9288.84</v>
      </c>
      <c r="Y165">
        <f t="shared" si="2"/>
        <v>1.7210916764416112E-3</v>
      </c>
    </row>
    <row r="166" spans="1:25" x14ac:dyDescent="0.2">
      <c r="A166" t="s">
        <v>165</v>
      </c>
      <c r="B166" t="s">
        <v>166</v>
      </c>
      <c r="C166" t="s">
        <v>167</v>
      </c>
      <c r="D166" t="s">
        <v>7</v>
      </c>
      <c r="E166">
        <v>2746.18</v>
      </c>
      <c r="F166">
        <v>2951.11</v>
      </c>
      <c r="G166">
        <v>2939.1</v>
      </c>
      <c r="H166">
        <v>2943.78</v>
      </c>
      <c r="I166">
        <v>2795.86</v>
      </c>
      <c r="J166">
        <v>4047.67</v>
      </c>
      <c r="K166">
        <v>4646.87</v>
      </c>
      <c r="L166">
        <v>5137.4799999999996</v>
      </c>
      <c r="M166">
        <v>5349.93</v>
      </c>
      <c r="N166">
        <v>5647.6</v>
      </c>
      <c r="O166">
        <v>5837.82</v>
      </c>
      <c r="P166">
        <v>6083.73</v>
      </c>
      <c r="Q166">
        <v>6407.83</v>
      </c>
      <c r="R166">
        <v>6402.87</v>
      </c>
      <c r="S166">
        <v>6592.06</v>
      </c>
      <c r="T166">
        <v>6594.57</v>
      </c>
      <c r="U166">
        <v>7948</v>
      </c>
      <c r="V166">
        <v>9072.82</v>
      </c>
      <c r="W166">
        <v>9455.0499999999993</v>
      </c>
      <c r="X166">
        <v>9286.1200000000008</v>
      </c>
      <c r="Y166">
        <f t="shared" si="2"/>
        <v>1.72058769861877E-3</v>
      </c>
    </row>
    <row r="167" spans="1:25" x14ac:dyDescent="0.2">
      <c r="A167" t="s">
        <v>84</v>
      </c>
      <c r="B167" t="s">
        <v>85</v>
      </c>
      <c r="C167" t="s">
        <v>86</v>
      </c>
      <c r="D167" t="s">
        <v>7</v>
      </c>
      <c r="E167">
        <v>2508.2199999999998</v>
      </c>
      <c r="F167">
        <v>2972.45</v>
      </c>
      <c r="G167">
        <v>3659.94</v>
      </c>
      <c r="H167">
        <v>5089.6000000000004</v>
      </c>
      <c r="I167">
        <v>5627.13</v>
      </c>
      <c r="J167">
        <v>4630.7299999999996</v>
      </c>
      <c r="K167">
        <v>4570.4799999999996</v>
      </c>
      <c r="L167">
        <v>6401.29</v>
      </c>
      <c r="M167">
        <v>6432.24</v>
      </c>
      <c r="N167">
        <v>6181.99</v>
      </c>
      <c r="O167">
        <v>4767.05</v>
      </c>
      <c r="P167">
        <v>4720.9799999999996</v>
      </c>
      <c r="Q167">
        <v>4670.3999999999996</v>
      </c>
      <c r="R167">
        <v>4910.96</v>
      </c>
      <c r="S167">
        <v>5502.31</v>
      </c>
      <c r="T167">
        <v>6419.2</v>
      </c>
      <c r="U167">
        <v>4313.93</v>
      </c>
      <c r="V167">
        <v>14211.03</v>
      </c>
      <c r="W167">
        <v>10490.49</v>
      </c>
      <c r="X167">
        <v>9284.52</v>
      </c>
      <c r="Y167">
        <f t="shared" si="2"/>
        <v>1.7202912410759221E-3</v>
      </c>
    </row>
    <row r="168" spans="1:25" x14ac:dyDescent="0.2">
      <c r="A168" t="s">
        <v>705</v>
      </c>
      <c r="B168" t="s">
        <v>706</v>
      </c>
      <c r="C168" t="s">
        <v>707</v>
      </c>
      <c r="D168" t="s">
        <v>7</v>
      </c>
      <c r="E168">
        <v>1934.8</v>
      </c>
      <c r="F168">
        <v>2173.2800000000002</v>
      </c>
      <c r="G168">
        <v>2583.3000000000002</v>
      </c>
      <c r="H168">
        <v>2964.82</v>
      </c>
      <c r="I168">
        <v>3105.14</v>
      </c>
      <c r="J168">
        <v>3149.63</v>
      </c>
      <c r="K168">
        <v>2831.45</v>
      </c>
      <c r="L168">
        <v>2943.35</v>
      </c>
      <c r="M168">
        <v>3048.85</v>
      </c>
      <c r="N168">
        <v>3316.95</v>
      </c>
      <c r="O168">
        <v>3585.49</v>
      </c>
      <c r="P168">
        <v>3871.17</v>
      </c>
      <c r="Q168">
        <v>4256.92</v>
      </c>
      <c r="R168">
        <v>5125.6000000000004</v>
      </c>
      <c r="S168">
        <v>5357.93</v>
      </c>
      <c r="T168">
        <v>5776.01</v>
      </c>
      <c r="U168">
        <v>6013.81</v>
      </c>
      <c r="V168">
        <v>6381.08</v>
      </c>
      <c r="W168">
        <v>7729.21</v>
      </c>
      <c r="X168">
        <v>9211.23</v>
      </c>
      <c r="Y168">
        <f t="shared" si="2"/>
        <v>1.706711632753849E-3</v>
      </c>
    </row>
    <row r="169" spans="1:25" x14ac:dyDescent="0.2">
      <c r="A169" t="s">
        <v>399</v>
      </c>
      <c r="B169" t="s">
        <v>400</v>
      </c>
      <c r="C169" t="s">
        <v>401</v>
      </c>
      <c r="D169" t="s">
        <v>7</v>
      </c>
      <c r="E169" t="s">
        <v>11</v>
      </c>
      <c r="F169" t="s">
        <v>11</v>
      </c>
      <c r="G169" t="s">
        <v>11</v>
      </c>
      <c r="H169" t="s">
        <v>11</v>
      </c>
      <c r="I169" t="s">
        <v>11</v>
      </c>
      <c r="J169">
        <v>7962.22</v>
      </c>
      <c r="K169">
        <v>7750.32</v>
      </c>
      <c r="L169">
        <v>7078.8</v>
      </c>
      <c r="M169">
        <v>7747.82</v>
      </c>
      <c r="N169">
        <v>7712.28</v>
      </c>
      <c r="O169">
        <v>7412.02</v>
      </c>
      <c r="P169">
        <v>5300.23</v>
      </c>
      <c r="Q169">
        <v>4844.01</v>
      </c>
      <c r="R169">
        <v>5385.42</v>
      </c>
      <c r="S169">
        <v>5395.94</v>
      </c>
      <c r="T169">
        <v>5252.72</v>
      </c>
      <c r="U169">
        <v>5752.15</v>
      </c>
      <c r="V169">
        <v>7985.61</v>
      </c>
      <c r="W169">
        <v>9757.2099999999991</v>
      </c>
      <c r="X169">
        <v>8827.19</v>
      </c>
      <c r="Y169">
        <f t="shared" si="2"/>
        <v>1.6355544110318002E-3</v>
      </c>
    </row>
    <row r="170" spans="1:25" x14ac:dyDescent="0.2">
      <c r="A170" t="s">
        <v>318</v>
      </c>
      <c r="B170" t="s">
        <v>319</v>
      </c>
      <c r="C170" t="s">
        <v>320</v>
      </c>
      <c r="D170" t="s">
        <v>7</v>
      </c>
      <c r="E170">
        <v>6006.79</v>
      </c>
      <c r="F170">
        <v>6080.46</v>
      </c>
      <c r="G170">
        <v>6175.47</v>
      </c>
      <c r="H170">
        <v>5987.25</v>
      </c>
      <c r="I170">
        <v>4599.92</v>
      </c>
      <c r="J170">
        <v>3355.28</v>
      </c>
      <c r="K170">
        <v>4122.4799999999996</v>
      </c>
      <c r="L170">
        <v>4358.3100000000004</v>
      </c>
      <c r="M170">
        <v>3592.46</v>
      </c>
      <c r="N170">
        <v>3425.83</v>
      </c>
      <c r="O170">
        <v>4113.22</v>
      </c>
      <c r="P170">
        <v>4069.38</v>
      </c>
      <c r="Q170">
        <v>3052.56</v>
      </c>
      <c r="R170">
        <v>3953.69</v>
      </c>
      <c r="S170">
        <v>5023.3100000000004</v>
      </c>
      <c r="T170">
        <v>5772.91</v>
      </c>
      <c r="U170">
        <v>6606.54</v>
      </c>
      <c r="V170">
        <v>7395.17</v>
      </c>
      <c r="W170">
        <v>7926.84</v>
      </c>
      <c r="X170">
        <v>8599.99</v>
      </c>
      <c r="Y170">
        <f t="shared" si="2"/>
        <v>1.5934574399474092E-3</v>
      </c>
    </row>
    <row r="171" spans="1:25" x14ac:dyDescent="0.2">
      <c r="A171" t="s">
        <v>300</v>
      </c>
      <c r="B171" t="s">
        <v>301</v>
      </c>
      <c r="C171" t="s">
        <v>302</v>
      </c>
      <c r="D171" t="s">
        <v>7</v>
      </c>
      <c r="E171">
        <v>3283.25</v>
      </c>
      <c r="F171">
        <v>3858.93</v>
      </c>
      <c r="G171">
        <v>4740.7299999999996</v>
      </c>
      <c r="H171">
        <v>5479.68</v>
      </c>
      <c r="I171">
        <v>4602.83</v>
      </c>
      <c r="J171">
        <v>4870.4399999999996</v>
      </c>
      <c r="K171">
        <v>5828.69</v>
      </c>
      <c r="L171">
        <v>6548.08</v>
      </c>
      <c r="M171">
        <v>6193.15</v>
      </c>
      <c r="N171">
        <v>6875.14</v>
      </c>
      <c r="O171">
        <v>6888.95</v>
      </c>
      <c r="P171">
        <v>5963.78</v>
      </c>
      <c r="Q171">
        <v>6976.48</v>
      </c>
      <c r="R171">
        <v>7352.98</v>
      </c>
      <c r="S171">
        <v>7277.47</v>
      </c>
      <c r="T171">
        <v>7742.55</v>
      </c>
      <c r="U171">
        <v>10583.29</v>
      </c>
      <c r="V171">
        <v>12847.09</v>
      </c>
      <c r="W171">
        <v>11325.94</v>
      </c>
      <c r="X171">
        <v>8591.6299999999992</v>
      </c>
      <c r="Y171">
        <f t="shared" si="2"/>
        <v>1.5919084492860291E-3</v>
      </c>
    </row>
    <row r="172" spans="1:25" x14ac:dyDescent="0.2">
      <c r="A172" t="s">
        <v>225</v>
      </c>
      <c r="B172" t="s">
        <v>226</v>
      </c>
      <c r="C172" t="s">
        <v>227</v>
      </c>
      <c r="D172" t="s">
        <v>7</v>
      </c>
      <c r="E172">
        <v>3326.34</v>
      </c>
      <c r="F172">
        <v>4031.04</v>
      </c>
      <c r="G172">
        <v>4308.8900000000003</v>
      </c>
      <c r="H172">
        <v>4742.47</v>
      </c>
      <c r="I172">
        <v>4215.5</v>
      </c>
      <c r="J172">
        <v>4437.07</v>
      </c>
      <c r="K172">
        <v>5591.87</v>
      </c>
      <c r="L172">
        <v>5280.57</v>
      </c>
      <c r="M172">
        <v>5037.3900000000003</v>
      </c>
      <c r="N172">
        <v>5354.42</v>
      </c>
      <c r="O172">
        <v>5676.19</v>
      </c>
      <c r="P172">
        <v>6492.35</v>
      </c>
      <c r="Q172">
        <v>7247.52</v>
      </c>
      <c r="R172">
        <v>7324.79</v>
      </c>
      <c r="S172">
        <v>7473.96</v>
      </c>
      <c r="T172">
        <v>6134.83</v>
      </c>
      <c r="U172">
        <v>7734.04</v>
      </c>
      <c r="V172">
        <v>9541.07</v>
      </c>
      <c r="W172">
        <v>9816.39</v>
      </c>
      <c r="X172">
        <v>8517.6</v>
      </c>
      <c r="Y172">
        <f t="shared" si="2"/>
        <v>1.5781917293503892E-3</v>
      </c>
    </row>
    <row r="173" spans="1:25" x14ac:dyDescent="0.2">
      <c r="A173" t="s">
        <v>381</v>
      </c>
      <c r="B173" t="s">
        <v>382</v>
      </c>
      <c r="C173" t="s">
        <v>383</v>
      </c>
      <c r="D173" t="s">
        <v>7</v>
      </c>
      <c r="E173">
        <v>2541.12</v>
      </c>
      <c r="F173">
        <v>3139.22</v>
      </c>
      <c r="G173">
        <v>3876.67</v>
      </c>
      <c r="H173">
        <v>4755.29</v>
      </c>
      <c r="I173">
        <v>4018.31</v>
      </c>
      <c r="J173">
        <v>5902.14</v>
      </c>
      <c r="K173">
        <v>7903.21</v>
      </c>
      <c r="L173">
        <v>6887.08</v>
      </c>
      <c r="M173">
        <v>5613.45</v>
      </c>
      <c r="N173">
        <v>5435.54</v>
      </c>
      <c r="O173">
        <v>4995.03</v>
      </c>
      <c r="P173">
        <v>4780.6899999999996</v>
      </c>
      <c r="Q173">
        <v>5256.2</v>
      </c>
      <c r="R173">
        <v>5781.37</v>
      </c>
      <c r="S173">
        <v>5726.92</v>
      </c>
      <c r="T173">
        <v>5529.96</v>
      </c>
      <c r="U173">
        <v>8469.2099999999991</v>
      </c>
      <c r="V173">
        <v>9813.76</v>
      </c>
      <c r="W173">
        <v>7353.02</v>
      </c>
      <c r="X173">
        <v>8481.69</v>
      </c>
      <c r="Y173">
        <f t="shared" si="2"/>
        <v>1.5715381103730984E-3</v>
      </c>
    </row>
    <row r="174" spans="1:25" x14ac:dyDescent="0.2">
      <c r="A174" t="s">
        <v>210</v>
      </c>
      <c r="B174" t="s">
        <v>211</v>
      </c>
      <c r="C174" t="s">
        <v>212</v>
      </c>
      <c r="D174" t="s">
        <v>7</v>
      </c>
      <c r="E174">
        <v>2504.56</v>
      </c>
      <c r="F174">
        <v>3107.64</v>
      </c>
      <c r="G174">
        <v>3526.84</v>
      </c>
      <c r="H174">
        <v>2797.23</v>
      </c>
      <c r="I174">
        <v>2680.76</v>
      </c>
      <c r="J174">
        <v>3536.98</v>
      </c>
      <c r="K174">
        <v>4646.3900000000003</v>
      </c>
      <c r="L174">
        <v>4612.07</v>
      </c>
      <c r="M174">
        <v>3913.65</v>
      </c>
      <c r="N174">
        <v>4190.33</v>
      </c>
      <c r="O174">
        <v>4078.8</v>
      </c>
      <c r="P174">
        <v>5160.54</v>
      </c>
      <c r="Q174">
        <v>5100.5</v>
      </c>
      <c r="R174">
        <v>6282.15</v>
      </c>
      <c r="S174">
        <v>6338.6</v>
      </c>
      <c r="T174">
        <v>6085.82</v>
      </c>
      <c r="U174">
        <v>7415.02</v>
      </c>
      <c r="V174">
        <v>9393.7199999999993</v>
      </c>
      <c r="W174">
        <v>9102.99</v>
      </c>
      <c r="X174">
        <v>8006.57</v>
      </c>
      <c r="Y174">
        <f t="shared" si="2"/>
        <v>1.4835050430244369E-3</v>
      </c>
    </row>
    <row r="175" spans="1:25" x14ac:dyDescent="0.2">
      <c r="A175" t="s">
        <v>459</v>
      </c>
      <c r="B175" t="s">
        <v>460</v>
      </c>
      <c r="C175" t="s">
        <v>461</v>
      </c>
      <c r="D175" t="s">
        <v>7</v>
      </c>
      <c r="E175">
        <v>2771.54</v>
      </c>
      <c r="F175">
        <v>3101.01</v>
      </c>
      <c r="G175">
        <v>4184</v>
      </c>
      <c r="H175">
        <v>4503.57</v>
      </c>
      <c r="I175">
        <v>4519.07</v>
      </c>
      <c r="J175">
        <v>7854.92</v>
      </c>
      <c r="K175">
        <v>4425.1499999999996</v>
      </c>
      <c r="L175">
        <v>3807.95</v>
      </c>
      <c r="M175" t="s">
        <v>11</v>
      </c>
      <c r="N175">
        <v>5628.43</v>
      </c>
      <c r="O175">
        <v>5963.9</v>
      </c>
      <c r="P175">
        <v>5879.74</v>
      </c>
      <c r="Q175">
        <v>5619.96</v>
      </c>
      <c r="R175">
        <v>4409.25</v>
      </c>
      <c r="S175">
        <v>6569.07</v>
      </c>
      <c r="T175">
        <v>7348.49</v>
      </c>
      <c r="U175" t="s">
        <v>11</v>
      </c>
      <c r="V175">
        <v>4996.66</v>
      </c>
      <c r="W175">
        <v>7380.51</v>
      </c>
      <c r="X175">
        <v>7680.98</v>
      </c>
      <c r="Y175">
        <f t="shared" si="2"/>
        <v>1.4231777859145477E-3</v>
      </c>
    </row>
    <row r="176" spans="1:25" x14ac:dyDescent="0.2">
      <c r="A176" t="s">
        <v>543</v>
      </c>
      <c r="B176" t="s">
        <v>544</v>
      </c>
      <c r="C176" t="s">
        <v>545</v>
      </c>
      <c r="D176" t="s">
        <v>7</v>
      </c>
      <c r="E176">
        <v>6714.74</v>
      </c>
      <c r="F176">
        <v>7031.55</v>
      </c>
      <c r="G176">
        <v>7414.59</v>
      </c>
      <c r="H176">
        <v>9411.33</v>
      </c>
      <c r="I176">
        <v>9303.0499999999993</v>
      </c>
      <c r="J176">
        <v>9771.51</v>
      </c>
      <c r="K176">
        <v>8858.61</v>
      </c>
      <c r="L176">
        <v>9047.51</v>
      </c>
      <c r="M176">
        <v>8471.7900000000009</v>
      </c>
      <c r="N176">
        <v>8564.2999999999993</v>
      </c>
      <c r="O176">
        <v>8483.56</v>
      </c>
      <c r="P176">
        <v>8301.2999999999993</v>
      </c>
      <c r="Q176">
        <v>7826.68</v>
      </c>
      <c r="R176">
        <v>6922.12</v>
      </c>
      <c r="S176">
        <v>6741.24</v>
      </c>
      <c r="T176">
        <v>6301.4</v>
      </c>
      <c r="U176">
        <v>6760.94</v>
      </c>
      <c r="V176">
        <v>7295.19</v>
      </c>
      <c r="W176">
        <v>7784.55</v>
      </c>
      <c r="X176">
        <v>7298.34</v>
      </c>
      <c r="Y176">
        <f t="shared" si="2"/>
        <v>1.3522799645424907E-3</v>
      </c>
    </row>
    <row r="177" spans="1:25" x14ac:dyDescent="0.2">
      <c r="A177" t="s">
        <v>153</v>
      </c>
      <c r="B177" t="s">
        <v>154</v>
      </c>
      <c r="C177" t="s">
        <v>155</v>
      </c>
      <c r="D177" t="s">
        <v>7</v>
      </c>
      <c r="E177">
        <v>5965.28</v>
      </c>
      <c r="F177" t="s">
        <v>11</v>
      </c>
      <c r="G177" t="s">
        <v>11</v>
      </c>
      <c r="H177" t="s">
        <v>11</v>
      </c>
      <c r="I177">
        <v>5144.29</v>
      </c>
      <c r="J177">
        <v>5628.92</v>
      </c>
      <c r="K177">
        <v>9874.42</v>
      </c>
      <c r="L177">
        <v>6582.93</v>
      </c>
      <c r="M177">
        <v>4806.97</v>
      </c>
      <c r="N177">
        <v>4481.54</v>
      </c>
      <c r="O177">
        <v>4255.57</v>
      </c>
      <c r="P177">
        <v>3862.3</v>
      </c>
      <c r="Q177">
        <v>5294.31</v>
      </c>
      <c r="R177">
        <v>6512.74</v>
      </c>
      <c r="S177">
        <v>5559.03</v>
      </c>
      <c r="T177">
        <v>4015.82</v>
      </c>
      <c r="U177">
        <v>7943.63</v>
      </c>
      <c r="V177" t="s">
        <v>11</v>
      </c>
      <c r="W177">
        <v>8661.61</v>
      </c>
      <c r="X177">
        <v>7176.64</v>
      </c>
      <c r="Y177">
        <f t="shared" si="2"/>
        <v>1.3297306626896281E-3</v>
      </c>
    </row>
    <row r="178" spans="1:25" x14ac:dyDescent="0.2">
      <c r="A178" t="s">
        <v>135</v>
      </c>
      <c r="B178" t="s">
        <v>136</v>
      </c>
      <c r="C178" t="s">
        <v>137</v>
      </c>
      <c r="D178" t="s">
        <v>7</v>
      </c>
      <c r="E178">
        <v>3049.92</v>
      </c>
      <c r="F178">
        <v>2742.91</v>
      </c>
      <c r="G178">
        <v>3402.35</v>
      </c>
      <c r="H178">
        <v>2968.12</v>
      </c>
      <c r="I178">
        <v>2773.58</v>
      </c>
      <c r="J178">
        <v>3503.16</v>
      </c>
      <c r="K178">
        <v>4406.9799999999996</v>
      </c>
      <c r="L178">
        <v>4829.3900000000003</v>
      </c>
      <c r="M178">
        <v>4799.05</v>
      </c>
      <c r="N178">
        <v>5641.31</v>
      </c>
      <c r="O178">
        <v>5603.44</v>
      </c>
      <c r="P178">
        <v>5452.58</v>
      </c>
      <c r="Q178">
        <v>5655.09</v>
      </c>
      <c r="R178">
        <v>5966.01</v>
      </c>
      <c r="S178">
        <v>5867.85</v>
      </c>
      <c r="T178">
        <v>6112.45</v>
      </c>
      <c r="U178">
        <v>8271.07</v>
      </c>
      <c r="V178">
        <v>8773.57</v>
      </c>
      <c r="W178">
        <v>7329.32</v>
      </c>
      <c r="X178">
        <v>6936.23</v>
      </c>
      <c r="Y178">
        <f t="shared" si="2"/>
        <v>1.2851860640170998E-3</v>
      </c>
    </row>
    <row r="179" spans="1:25" x14ac:dyDescent="0.2">
      <c r="A179" t="s">
        <v>231</v>
      </c>
      <c r="B179" t="s">
        <v>232</v>
      </c>
      <c r="C179" t="s">
        <v>233</v>
      </c>
      <c r="D179" t="s">
        <v>7</v>
      </c>
      <c r="E179">
        <v>2612.21</v>
      </c>
      <c r="F179">
        <v>3120.62</v>
      </c>
      <c r="G179">
        <v>3548.7</v>
      </c>
      <c r="H179">
        <v>3886.49</v>
      </c>
      <c r="I179">
        <v>3847.32</v>
      </c>
      <c r="J179">
        <v>3706.99</v>
      </c>
      <c r="K179">
        <v>5090.13</v>
      </c>
      <c r="L179">
        <v>5027.82</v>
      </c>
      <c r="M179">
        <v>5292.1</v>
      </c>
      <c r="N179">
        <v>5203.57</v>
      </c>
      <c r="O179">
        <v>5409.7</v>
      </c>
      <c r="P179">
        <v>5333.93</v>
      </c>
      <c r="Q179">
        <v>5447.96</v>
      </c>
      <c r="R179">
        <v>5913.85</v>
      </c>
      <c r="S179">
        <v>6315.8</v>
      </c>
      <c r="T179">
        <v>6483.05</v>
      </c>
      <c r="U179">
        <v>8572.76</v>
      </c>
      <c r="V179">
        <v>9995.9</v>
      </c>
      <c r="W179">
        <v>8434.3799999999992</v>
      </c>
      <c r="X179">
        <v>6590.01</v>
      </c>
      <c r="Y179">
        <f t="shared" si="2"/>
        <v>1.2210363574641165E-3</v>
      </c>
    </row>
    <row r="180" spans="1:25" x14ac:dyDescent="0.2">
      <c r="A180" t="s">
        <v>240</v>
      </c>
      <c r="B180" t="s">
        <v>241</v>
      </c>
      <c r="C180" t="s">
        <v>242</v>
      </c>
      <c r="D180" t="s">
        <v>7</v>
      </c>
      <c r="E180">
        <v>1886.17</v>
      </c>
      <c r="F180">
        <v>2413.42</v>
      </c>
      <c r="G180">
        <v>3028.39</v>
      </c>
      <c r="H180">
        <v>3289.69</v>
      </c>
      <c r="I180">
        <v>2616.63</v>
      </c>
      <c r="J180">
        <v>3043.54</v>
      </c>
      <c r="K180">
        <v>3457.31</v>
      </c>
      <c r="L180">
        <v>2664.54</v>
      </c>
      <c r="M180">
        <v>2677.36</v>
      </c>
      <c r="N180">
        <v>2773.21</v>
      </c>
      <c r="O180">
        <v>2740.72</v>
      </c>
      <c r="P180">
        <v>3574.2</v>
      </c>
      <c r="Q180">
        <v>4310.22</v>
      </c>
      <c r="R180">
        <v>4594.87</v>
      </c>
      <c r="S180">
        <v>4563.17</v>
      </c>
      <c r="T180">
        <v>3436.67</v>
      </c>
      <c r="U180">
        <v>4960.79</v>
      </c>
      <c r="V180">
        <v>7503.28</v>
      </c>
      <c r="W180">
        <v>6562.07</v>
      </c>
      <c r="X180">
        <v>6418.25</v>
      </c>
      <c r="Y180">
        <f t="shared" si="2"/>
        <v>1.1892116402394024E-3</v>
      </c>
    </row>
    <row r="181" spans="1:25" x14ac:dyDescent="0.2">
      <c r="A181" t="s">
        <v>219</v>
      </c>
      <c r="B181" t="s">
        <v>220</v>
      </c>
      <c r="C181" t="s">
        <v>221</v>
      </c>
      <c r="D181" t="s">
        <v>7</v>
      </c>
      <c r="E181">
        <v>2203.44</v>
      </c>
      <c r="F181">
        <v>2729.01</v>
      </c>
      <c r="G181">
        <v>3342.21</v>
      </c>
      <c r="H181">
        <v>3260.08</v>
      </c>
      <c r="I181" t="s">
        <v>11</v>
      </c>
      <c r="J181">
        <v>3337.46</v>
      </c>
      <c r="K181">
        <v>4369.32</v>
      </c>
      <c r="L181" t="s">
        <v>11</v>
      </c>
      <c r="M181">
        <v>3131.11</v>
      </c>
      <c r="N181">
        <v>3320.27</v>
      </c>
      <c r="O181">
        <v>3500.85</v>
      </c>
      <c r="P181">
        <v>4627.01</v>
      </c>
      <c r="Q181">
        <v>4950.55</v>
      </c>
      <c r="R181">
        <v>5904</v>
      </c>
      <c r="S181">
        <v>5536.39</v>
      </c>
      <c r="T181">
        <v>4807.24</v>
      </c>
      <c r="U181">
        <v>7372.12</v>
      </c>
      <c r="V181">
        <v>9792.32</v>
      </c>
      <c r="W181">
        <v>6930.71</v>
      </c>
      <c r="X181">
        <v>6410.08</v>
      </c>
      <c r="Y181">
        <f t="shared" si="2"/>
        <v>1.1876978539112357E-3</v>
      </c>
    </row>
    <row r="182" spans="1:25" x14ac:dyDescent="0.2">
      <c r="A182" t="s">
        <v>627</v>
      </c>
      <c r="B182" t="s">
        <v>628</v>
      </c>
      <c r="C182" t="s">
        <v>629</v>
      </c>
      <c r="D182" t="s">
        <v>7</v>
      </c>
      <c r="E182">
        <v>58.33</v>
      </c>
      <c r="F182" t="s">
        <v>11</v>
      </c>
      <c r="G182" t="s">
        <v>11</v>
      </c>
      <c r="H182" t="s">
        <v>11</v>
      </c>
      <c r="I182" t="s">
        <v>11</v>
      </c>
      <c r="J182">
        <v>10397.549999999999</v>
      </c>
      <c r="K182" t="s">
        <v>11</v>
      </c>
      <c r="L182">
        <v>4648.8500000000004</v>
      </c>
      <c r="M182">
        <v>5336.17</v>
      </c>
      <c r="N182">
        <v>8178.3</v>
      </c>
      <c r="O182" t="s">
        <v>11</v>
      </c>
      <c r="P182">
        <v>7857.68</v>
      </c>
      <c r="Q182">
        <v>2457.0700000000002</v>
      </c>
      <c r="R182">
        <v>2833.6</v>
      </c>
      <c r="S182">
        <v>2915.36</v>
      </c>
      <c r="T182">
        <v>2998.61</v>
      </c>
      <c r="U182">
        <v>4043.48</v>
      </c>
      <c r="V182">
        <v>5068.1400000000003</v>
      </c>
      <c r="W182">
        <v>4493.58</v>
      </c>
      <c r="X182">
        <v>6384.46</v>
      </c>
      <c r="Y182">
        <f t="shared" si="2"/>
        <v>1.1829508275063849E-3</v>
      </c>
    </row>
    <row r="183" spans="1:25" x14ac:dyDescent="0.2">
      <c r="A183" t="s">
        <v>237</v>
      </c>
      <c r="B183" t="s">
        <v>238</v>
      </c>
      <c r="C183" t="s">
        <v>239</v>
      </c>
      <c r="D183" t="s">
        <v>7</v>
      </c>
      <c r="E183">
        <v>1422.06</v>
      </c>
      <c r="F183">
        <v>1546.74</v>
      </c>
      <c r="G183">
        <v>1943.72</v>
      </c>
      <c r="H183">
        <v>2387.3000000000002</v>
      </c>
      <c r="I183" t="s">
        <v>11</v>
      </c>
      <c r="J183">
        <v>751.87</v>
      </c>
      <c r="K183">
        <v>774.31</v>
      </c>
      <c r="L183">
        <v>790.02</v>
      </c>
      <c r="M183">
        <v>953.44</v>
      </c>
      <c r="N183">
        <v>935.15</v>
      </c>
      <c r="O183">
        <v>1047.6300000000001</v>
      </c>
      <c r="P183">
        <v>1330</v>
      </c>
      <c r="Q183">
        <v>1787</v>
      </c>
      <c r="R183">
        <v>1985.93</v>
      </c>
      <c r="S183">
        <v>2001.75</v>
      </c>
      <c r="T183">
        <v>2255.52</v>
      </c>
      <c r="U183">
        <v>2465.4499999999998</v>
      </c>
      <c r="V183">
        <v>2880.16</v>
      </c>
      <c r="W183">
        <v>4549.46</v>
      </c>
      <c r="X183">
        <v>6317.99</v>
      </c>
      <c r="Y183">
        <f t="shared" si="2"/>
        <v>1.1706348694607007E-3</v>
      </c>
    </row>
    <row r="184" spans="1:25" x14ac:dyDescent="0.2">
      <c r="A184" t="s">
        <v>489</v>
      </c>
      <c r="B184" t="s">
        <v>490</v>
      </c>
      <c r="C184" t="s">
        <v>491</v>
      </c>
      <c r="D184" t="s">
        <v>7</v>
      </c>
      <c r="E184" t="s">
        <v>11</v>
      </c>
      <c r="F184" t="s">
        <v>11</v>
      </c>
      <c r="G184" t="s">
        <v>11</v>
      </c>
      <c r="H184" t="s">
        <v>11</v>
      </c>
      <c r="I184" t="s">
        <v>11</v>
      </c>
      <c r="J184">
        <v>3326.59</v>
      </c>
      <c r="K184">
        <v>3304.14</v>
      </c>
      <c r="L184">
        <v>3541.38</v>
      </c>
      <c r="M184">
        <v>3936.48</v>
      </c>
      <c r="N184">
        <v>3740.16</v>
      </c>
      <c r="O184">
        <v>3926.32</v>
      </c>
      <c r="P184">
        <v>3772.98</v>
      </c>
      <c r="Q184">
        <v>3561.99</v>
      </c>
      <c r="R184">
        <v>4155.79</v>
      </c>
      <c r="S184">
        <v>4191.76</v>
      </c>
      <c r="T184">
        <v>4146.6099999999997</v>
      </c>
      <c r="U184">
        <v>5407.74</v>
      </c>
      <c r="V184">
        <v>5695.91</v>
      </c>
      <c r="W184">
        <v>5557.22</v>
      </c>
      <c r="X184">
        <v>6254.53</v>
      </c>
      <c r="Y184">
        <f t="shared" si="2"/>
        <v>1.1588766221674988E-3</v>
      </c>
    </row>
    <row r="185" spans="1:25" x14ac:dyDescent="0.2">
      <c r="A185" t="s">
        <v>4</v>
      </c>
      <c r="B185" t="s">
        <v>5</v>
      </c>
      <c r="C185" t="s">
        <v>6</v>
      </c>
      <c r="D185" t="s">
        <v>7</v>
      </c>
      <c r="E185">
        <v>2081.96</v>
      </c>
      <c r="F185">
        <v>2263.84</v>
      </c>
      <c r="G185">
        <v>2539.8200000000002</v>
      </c>
      <c r="H185">
        <v>2419.1</v>
      </c>
      <c r="I185">
        <v>2672.69</v>
      </c>
      <c r="J185">
        <v>2913.21</v>
      </c>
      <c r="K185">
        <v>3269.35</v>
      </c>
      <c r="L185">
        <v>3512.17</v>
      </c>
      <c r="M185">
        <v>3517.12</v>
      </c>
      <c r="N185">
        <v>3482.3</v>
      </c>
      <c r="O185">
        <v>3274.65</v>
      </c>
      <c r="P185">
        <v>3219.21</v>
      </c>
      <c r="Q185">
        <v>3392.05</v>
      </c>
      <c r="R185">
        <v>3459.63</v>
      </c>
      <c r="S185">
        <v>3630.23</v>
      </c>
      <c r="T185">
        <v>3537.61</v>
      </c>
      <c r="U185">
        <v>4496</v>
      </c>
      <c r="V185">
        <v>5504.6</v>
      </c>
      <c r="W185">
        <v>7178.16</v>
      </c>
      <c r="X185">
        <v>6235.6</v>
      </c>
      <c r="Y185">
        <f t="shared" si="2"/>
        <v>1.1553691588636807E-3</v>
      </c>
    </row>
    <row r="186" spans="1:25" x14ac:dyDescent="0.2">
      <c r="A186" t="s">
        <v>351</v>
      </c>
      <c r="B186" t="s">
        <v>352</v>
      </c>
      <c r="C186" t="s">
        <v>353</v>
      </c>
      <c r="D186" t="s">
        <v>7</v>
      </c>
      <c r="E186">
        <v>1374.23</v>
      </c>
      <c r="F186">
        <v>1511.88</v>
      </c>
      <c r="G186">
        <v>1657.41</v>
      </c>
      <c r="H186">
        <v>1868.66</v>
      </c>
      <c r="I186">
        <v>2044.36</v>
      </c>
      <c r="J186">
        <v>2197.66</v>
      </c>
      <c r="K186">
        <v>3030.31</v>
      </c>
      <c r="L186">
        <v>2968.7</v>
      </c>
      <c r="M186">
        <v>3238.61</v>
      </c>
      <c r="N186">
        <v>3320.52</v>
      </c>
      <c r="O186">
        <v>3718.73</v>
      </c>
      <c r="P186">
        <v>4116.43</v>
      </c>
      <c r="Q186">
        <v>4268.07</v>
      </c>
      <c r="R186">
        <v>4481.5</v>
      </c>
      <c r="S186">
        <v>4484.76</v>
      </c>
      <c r="T186">
        <v>4469.8100000000004</v>
      </c>
      <c r="U186">
        <v>5939.8</v>
      </c>
      <c r="V186">
        <v>7178.87</v>
      </c>
      <c r="W186">
        <v>6524.4</v>
      </c>
      <c r="X186">
        <v>6207.44</v>
      </c>
      <c r="Y186">
        <f t="shared" si="2"/>
        <v>1.1501515061095589E-3</v>
      </c>
    </row>
    <row r="187" spans="1:25" x14ac:dyDescent="0.2">
      <c r="A187" t="s">
        <v>672</v>
      </c>
      <c r="B187" t="s">
        <v>673</v>
      </c>
      <c r="C187" t="s">
        <v>674</v>
      </c>
      <c r="D187" t="s">
        <v>7</v>
      </c>
      <c r="E187" t="s">
        <v>11</v>
      </c>
      <c r="F187">
        <v>1552.5</v>
      </c>
      <c r="G187">
        <v>2102.7800000000002</v>
      </c>
      <c r="H187">
        <v>2553.2399999999998</v>
      </c>
      <c r="I187">
        <v>2687.27</v>
      </c>
      <c r="J187">
        <v>3221.57</v>
      </c>
      <c r="K187">
        <v>4333</v>
      </c>
      <c r="L187">
        <v>3754.72</v>
      </c>
      <c r="M187">
        <v>3025.09</v>
      </c>
      <c r="N187">
        <v>2984.2</v>
      </c>
      <c r="O187">
        <v>3347.67</v>
      </c>
      <c r="P187">
        <v>3184.61</v>
      </c>
      <c r="Q187">
        <v>4269.88</v>
      </c>
      <c r="R187">
        <v>4526.28</v>
      </c>
      <c r="S187">
        <v>4795.3500000000004</v>
      </c>
      <c r="T187">
        <v>4680.8599999999997</v>
      </c>
      <c r="U187">
        <v>5271.58</v>
      </c>
      <c r="V187">
        <v>5318.92</v>
      </c>
      <c r="W187">
        <v>5610.2</v>
      </c>
      <c r="X187">
        <v>6101.81</v>
      </c>
      <c r="Y187">
        <f t="shared" si="2"/>
        <v>1.1305797497026743E-3</v>
      </c>
    </row>
    <row r="188" spans="1:25" x14ac:dyDescent="0.2">
      <c r="A188" t="s">
        <v>195</v>
      </c>
      <c r="B188" t="s">
        <v>196</v>
      </c>
      <c r="C188" t="s">
        <v>197</v>
      </c>
      <c r="D188" t="s">
        <v>7</v>
      </c>
      <c r="E188">
        <v>2986.58</v>
      </c>
      <c r="F188">
        <v>3198.61</v>
      </c>
      <c r="G188">
        <v>4737.32</v>
      </c>
      <c r="H188">
        <v>4602.97</v>
      </c>
      <c r="I188">
        <v>3819.08</v>
      </c>
      <c r="J188">
        <v>3721.73</v>
      </c>
      <c r="K188">
        <v>3976.55</v>
      </c>
      <c r="L188">
        <v>3784.48</v>
      </c>
      <c r="M188">
        <v>3686.87</v>
      </c>
      <c r="N188">
        <v>3616.8</v>
      </c>
      <c r="O188">
        <v>3763.29</v>
      </c>
      <c r="P188">
        <v>4159.28</v>
      </c>
      <c r="Q188">
        <v>4230.08</v>
      </c>
      <c r="R188">
        <v>4512.68</v>
      </c>
      <c r="S188">
        <v>4651.49</v>
      </c>
      <c r="T188">
        <v>5271.7</v>
      </c>
      <c r="U188">
        <v>6442.04</v>
      </c>
      <c r="V188">
        <v>8011.68</v>
      </c>
      <c r="W188">
        <v>6233.97</v>
      </c>
      <c r="X188">
        <v>6052.47</v>
      </c>
      <c r="Y188">
        <f t="shared" si="2"/>
        <v>1.1214377402251044E-3</v>
      </c>
    </row>
    <row r="189" spans="1:25" x14ac:dyDescent="0.2">
      <c r="A189" t="s">
        <v>786</v>
      </c>
      <c r="B189" t="s">
        <v>787</v>
      </c>
      <c r="C189" t="s">
        <v>788</v>
      </c>
      <c r="D189" t="s">
        <v>7</v>
      </c>
      <c r="E189">
        <v>269.41000000000003</v>
      </c>
      <c r="F189">
        <v>283.51</v>
      </c>
      <c r="G189">
        <v>361.25</v>
      </c>
      <c r="H189">
        <v>467.39</v>
      </c>
      <c r="I189">
        <v>576.54999999999995</v>
      </c>
      <c r="J189">
        <v>666.93</v>
      </c>
      <c r="K189">
        <v>858.98</v>
      </c>
      <c r="L189">
        <v>997.74</v>
      </c>
      <c r="M189">
        <v>1052.26</v>
      </c>
      <c r="N189">
        <v>1139.99</v>
      </c>
      <c r="O189">
        <v>1314.72</v>
      </c>
      <c r="P189">
        <v>1530.85</v>
      </c>
      <c r="Q189">
        <v>1434.83</v>
      </c>
      <c r="R189">
        <v>1707.09</v>
      </c>
      <c r="S189">
        <v>1962.9</v>
      </c>
      <c r="T189">
        <v>1662.86</v>
      </c>
      <c r="U189">
        <v>1799.9</v>
      </c>
      <c r="V189">
        <v>3886.76</v>
      </c>
      <c r="W189">
        <v>5018.51</v>
      </c>
      <c r="X189">
        <v>5944.11</v>
      </c>
      <c r="Y189">
        <f t="shared" si="2"/>
        <v>1.1013601531357354E-3</v>
      </c>
    </row>
    <row r="190" spans="1:25" x14ac:dyDescent="0.2">
      <c r="A190" t="s">
        <v>546</v>
      </c>
      <c r="B190" t="s">
        <v>547</v>
      </c>
      <c r="C190" t="s">
        <v>548</v>
      </c>
      <c r="D190" t="s">
        <v>7</v>
      </c>
      <c r="E190">
        <v>1421.43</v>
      </c>
      <c r="F190">
        <v>1554.09</v>
      </c>
      <c r="G190">
        <v>1887.19</v>
      </c>
      <c r="H190">
        <v>2163.29</v>
      </c>
      <c r="I190">
        <v>2287.64</v>
      </c>
      <c r="J190">
        <v>1651.37</v>
      </c>
      <c r="K190">
        <v>1742.73</v>
      </c>
      <c r="L190">
        <v>1226.1500000000001</v>
      </c>
      <c r="M190">
        <v>1239.67</v>
      </c>
      <c r="N190">
        <v>1274.57</v>
      </c>
      <c r="O190">
        <v>1614.54</v>
      </c>
      <c r="P190">
        <v>1759.73</v>
      </c>
      <c r="Q190">
        <v>1555</v>
      </c>
      <c r="R190">
        <v>2322.13</v>
      </c>
      <c r="S190">
        <v>2257.94</v>
      </c>
      <c r="T190">
        <v>3443.55</v>
      </c>
      <c r="U190">
        <v>2681.88</v>
      </c>
      <c r="V190">
        <v>3426.72</v>
      </c>
      <c r="W190">
        <v>4079.27</v>
      </c>
      <c r="X190">
        <v>5896.31</v>
      </c>
      <c r="Y190">
        <f t="shared" si="2"/>
        <v>1.092503484043157E-3</v>
      </c>
    </row>
    <row r="191" spans="1:25" x14ac:dyDescent="0.2">
      <c r="A191" t="s">
        <v>255</v>
      </c>
      <c r="B191" t="s">
        <v>256</v>
      </c>
      <c r="C191" t="s">
        <v>257</v>
      </c>
      <c r="D191" t="s">
        <v>7</v>
      </c>
      <c r="E191">
        <v>1805.93</v>
      </c>
      <c r="F191">
        <v>1338.51</v>
      </c>
      <c r="G191">
        <v>1964.61</v>
      </c>
      <c r="H191">
        <v>2704.11</v>
      </c>
      <c r="I191">
        <v>2303.04</v>
      </c>
      <c r="J191">
        <v>4378.18</v>
      </c>
      <c r="K191">
        <v>3399.53</v>
      </c>
      <c r="L191">
        <v>2914.7</v>
      </c>
      <c r="M191">
        <v>2930.71</v>
      </c>
      <c r="N191">
        <v>3814.7</v>
      </c>
      <c r="O191">
        <v>2170.0500000000002</v>
      </c>
      <c r="P191">
        <v>2245.9499999999998</v>
      </c>
      <c r="Q191">
        <v>2339.38</v>
      </c>
      <c r="R191">
        <v>2394.4699999999998</v>
      </c>
      <c r="S191">
        <v>2457</v>
      </c>
      <c r="T191">
        <v>2878.28</v>
      </c>
      <c r="U191">
        <v>3337.15</v>
      </c>
      <c r="V191">
        <v>3195.36</v>
      </c>
      <c r="W191">
        <v>4369.3900000000003</v>
      </c>
      <c r="X191">
        <v>5716.61</v>
      </c>
      <c r="Y191">
        <f t="shared" si="2"/>
        <v>1.0592075962620605E-3</v>
      </c>
    </row>
    <row r="192" spans="1:25" x14ac:dyDescent="0.2">
      <c r="A192" t="s">
        <v>246</v>
      </c>
      <c r="B192" t="s">
        <v>247</v>
      </c>
      <c r="C192" t="s">
        <v>248</v>
      </c>
      <c r="D192" t="s">
        <v>7</v>
      </c>
      <c r="E192">
        <v>1802.3</v>
      </c>
      <c r="F192">
        <v>2125.81</v>
      </c>
      <c r="G192">
        <v>2519.14</v>
      </c>
      <c r="H192">
        <v>2364.64</v>
      </c>
      <c r="I192">
        <v>2069.69</v>
      </c>
      <c r="J192">
        <v>2418.36</v>
      </c>
      <c r="K192">
        <v>2605.67</v>
      </c>
      <c r="L192">
        <v>2652.16</v>
      </c>
      <c r="M192">
        <v>2640.86</v>
      </c>
      <c r="N192">
        <v>2854.81</v>
      </c>
      <c r="O192">
        <v>3097.74</v>
      </c>
      <c r="P192">
        <v>3173.76</v>
      </c>
      <c r="Q192">
        <v>3328.74</v>
      </c>
      <c r="R192">
        <v>3474.55</v>
      </c>
      <c r="S192">
        <v>3566.74</v>
      </c>
      <c r="T192">
        <v>4107.03</v>
      </c>
      <c r="U192">
        <v>4995.2</v>
      </c>
      <c r="V192">
        <v>5847.75</v>
      </c>
      <c r="W192">
        <v>5541.87</v>
      </c>
      <c r="X192">
        <v>5537.63</v>
      </c>
      <c r="Y192">
        <f t="shared" si="2"/>
        <v>1.026045114375246E-3</v>
      </c>
    </row>
    <row r="193" spans="1:25" x14ac:dyDescent="0.2">
      <c r="A193" t="s">
        <v>198</v>
      </c>
      <c r="B193" t="s">
        <v>199</v>
      </c>
      <c r="C193" t="s">
        <v>200</v>
      </c>
      <c r="D193" t="s">
        <v>7</v>
      </c>
      <c r="E193">
        <v>1672.78</v>
      </c>
      <c r="F193">
        <v>2065.9899999999998</v>
      </c>
      <c r="G193">
        <v>2310.86</v>
      </c>
      <c r="H193">
        <v>2249.23</v>
      </c>
      <c r="I193">
        <v>2160.0100000000002</v>
      </c>
      <c r="J193">
        <v>2463.77</v>
      </c>
      <c r="K193">
        <v>2139.5700000000002</v>
      </c>
      <c r="L193">
        <v>2562.5100000000002</v>
      </c>
      <c r="M193">
        <v>2619.31</v>
      </c>
      <c r="N193">
        <v>3127.13</v>
      </c>
      <c r="O193">
        <v>3578.16</v>
      </c>
      <c r="P193">
        <v>4094.45</v>
      </c>
      <c r="Q193">
        <v>4222.58</v>
      </c>
      <c r="R193">
        <v>4352.3900000000003</v>
      </c>
      <c r="S193">
        <v>4624.16</v>
      </c>
      <c r="T193">
        <v>4311.75</v>
      </c>
      <c r="U193">
        <v>5741.72</v>
      </c>
      <c r="V193">
        <v>5922.42</v>
      </c>
      <c r="W193">
        <v>5900.01</v>
      </c>
      <c r="X193">
        <v>5501.46</v>
      </c>
      <c r="Y193">
        <f t="shared" si="2"/>
        <v>1.0193433210472424E-3</v>
      </c>
    </row>
    <row r="194" spans="1:25" x14ac:dyDescent="0.2">
      <c r="A194" t="s">
        <v>18</v>
      </c>
      <c r="B194" t="s">
        <v>19</v>
      </c>
      <c r="C194" t="s">
        <v>20</v>
      </c>
      <c r="D194" t="s">
        <v>7</v>
      </c>
      <c r="E194">
        <v>3889.11</v>
      </c>
      <c r="F194">
        <v>4357.55</v>
      </c>
      <c r="G194">
        <v>5551.72</v>
      </c>
      <c r="H194">
        <v>5865.84</v>
      </c>
      <c r="I194">
        <v>6188.78</v>
      </c>
      <c r="J194">
        <v>6424.68</v>
      </c>
      <c r="K194">
        <v>7798.5</v>
      </c>
      <c r="L194">
        <v>8568.09</v>
      </c>
      <c r="M194">
        <v>9521.2199999999993</v>
      </c>
      <c r="N194">
        <v>9391.17</v>
      </c>
      <c r="O194">
        <v>7877.48</v>
      </c>
      <c r="P194">
        <v>6178.72</v>
      </c>
      <c r="Q194">
        <v>5653.61</v>
      </c>
      <c r="R194">
        <v>5490.14</v>
      </c>
      <c r="S194">
        <v>6151.77</v>
      </c>
      <c r="T194">
        <v>6139.21</v>
      </c>
      <c r="U194">
        <v>6980.22</v>
      </c>
      <c r="V194">
        <v>5948.23</v>
      </c>
      <c r="W194">
        <v>5750.81</v>
      </c>
      <c r="X194">
        <v>5493.31</v>
      </c>
      <c r="Y194">
        <f t="shared" si="2"/>
        <v>1.0178332404383614E-3</v>
      </c>
    </row>
    <row r="195" spans="1:25" x14ac:dyDescent="0.2">
      <c r="A195" t="s">
        <v>678</v>
      </c>
      <c r="B195" t="s">
        <v>679</v>
      </c>
      <c r="C195" t="s">
        <v>680</v>
      </c>
      <c r="D195" t="s">
        <v>7</v>
      </c>
      <c r="E195">
        <v>313.97000000000003</v>
      </c>
      <c r="F195">
        <v>640.71</v>
      </c>
      <c r="G195">
        <v>873.11</v>
      </c>
      <c r="H195">
        <v>1190.48</v>
      </c>
      <c r="I195">
        <v>1133.3399999999999</v>
      </c>
      <c r="J195">
        <v>1373.07</v>
      </c>
      <c r="K195">
        <v>1327.52</v>
      </c>
      <c r="L195" t="s">
        <v>11</v>
      </c>
      <c r="M195">
        <v>1633.45</v>
      </c>
      <c r="N195">
        <v>1955.19</v>
      </c>
      <c r="O195">
        <v>2241.2600000000002</v>
      </c>
      <c r="P195">
        <v>2356.29</v>
      </c>
      <c r="Q195">
        <v>2626.21</v>
      </c>
      <c r="R195">
        <v>2428.9699999999998</v>
      </c>
      <c r="S195">
        <v>2796.21</v>
      </c>
      <c r="T195">
        <v>2722.93</v>
      </c>
      <c r="U195">
        <v>3813.79</v>
      </c>
      <c r="V195">
        <v>4782.1499999999996</v>
      </c>
      <c r="W195">
        <v>5010.13</v>
      </c>
      <c r="X195">
        <v>5492.64</v>
      </c>
      <c r="Y195">
        <f t="shared" ref="Y195:Y258" si="3">X195/$X$274</f>
        <v>1.0177090988422938E-3</v>
      </c>
    </row>
    <row r="196" spans="1:25" x14ac:dyDescent="0.2">
      <c r="A196" t="s">
        <v>417</v>
      </c>
      <c r="B196" t="s">
        <v>418</v>
      </c>
      <c r="C196" t="s">
        <v>419</v>
      </c>
      <c r="D196" t="s">
        <v>7</v>
      </c>
      <c r="E196">
        <v>1902.08</v>
      </c>
      <c r="F196">
        <v>1636.56</v>
      </c>
      <c r="G196" t="s">
        <v>11</v>
      </c>
      <c r="H196">
        <v>2995.27</v>
      </c>
      <c r="I196" t="s">
        <v>11</v>
      </c>
      <c r="J196" t="s">
        <v>11</v>
      </c>
      <c r="K196" t="s">
        <v>11</v>
      </c>
      <c r="L196" t="s">
        <v>11</v>
      </c>
      <c r="M196">
        <v>1989.24</v>
      </c>
      <c r="N196">
        <v>2229.75</v>
      </c>
      <c r="O196">
        <v>2568.9699999999998</v>
      </c>
      <c r="P196">
        <v>2546.8000000000002</v>
      </c>
      <c r="Q196">
        <v>2462.21</v>
      </c>
      <c r="R196">
        <v>2782.66</v>
      </c>
      <c r="S196">
        <v>3100.06</v>
      </c>
      <c r="T196">
        <v>2576.13</v>
      </c>
      <c r="U196">
        <v>3401.29</v>
      </c>
      <c r="V196">
        <v>4692.3599999999997</v>
      </c>
      <c r="W196">
        <v>5766.96</v>
      </c>
      <c r="X196">
        <v>5479.34</v>
      </c>
      <c r="Y196">
        <f t="shared" si="3"/>
        <v>1.0152447955173712E-3</v>
      </c>
    </row>
    <row r="197" spans="1:25" x14ac:dyDescent="0.2">
      <c r="A197" t="s">
        <v>585</v>
      </c>
      <c r="B197" t="s">
        <v>586</v>
      </c>
      <c r="C197" t="s">
        <v>587</v>
      </c>
      <c r="D197" t="s">
        <v>7</v>
      </c>
      <c r="E197" t="s">
        <v>11</v>
      </c>
      <c r="F197">
        <v>3309.74</v>
      </c>
      <c r="G197">
        <v>4714.01</v>
      </c>
      <c r="H197">
        <v>3782.67</v>
      </c>
      <c r="I197" t="s">
        <v>11</v>
      </c>
      <c r="J197" t="s">
        <v>11</v>
      </c>
      <c r="K197">
        <v>297.33999999999997</v>
      </c>
      <c r="L197">
        <v>204.88</v>
      </c>
      <c r="M197">
        <v>719.68</v>
      </c>
      <c r="N197" t="s">
        <v>11</v>
      </c>
      <c r="O197">
        <v>548.22</v>
      </c>
      <c r="P197" t="s">
        <v>11</v>
      </c>
      <c r="Q197" t="s">
        <v>11</v>
      </c>
      <c r="R197" t="s">
        <v>11</v>
      </c>
      <c r="S197" t="s">
        <v>11</v>
      </c>
      <c r="T197">
        <v>1848.39</v>
      </c>
      <c r="U197" t="s">
        <v>11</v>
      </c>
      <c r="V197">
        <v>3985.32</v>
      </c>
      <c r="W197">
        <v>4079.04</v>
      </c>
      <c r="X197">
        <v>5434.72</v>
      </c>
      <c r="Y197">
        <f t="shared" si="3"/>
        <v>1.0069773357912026E-3</v>
      </c>
    </row>
    <row r="198" spans="1:25" x14ac:dyDescent="0.2">
      <c r="A198" t="s">
        <v>408</v>
      </c>
      <c r="B198" t="s">
        <v>409</v>
      </c>
      <c r="C198" t="s">
        <v>410</v>
      </c>
      <c r="D198" t="s">
        <v>7</v>
      </c>
      <c r="E198">
        <v>1130.55</v>
      </c>
      <c r="F198">
        <v>1377.87</v>
      </c>
      <c r="G198">
        <v>1839.63</v>
      </c>
      <c r="H198">
        <v>2585.6799999999998</v>
      </c>
      <c r="I198">
        <v>2365.21</v>
      </c>
      <c r="J198">
        <v>2229.91</v>
      </c>
      <c r="K198">
        <v>2407</v>
      </c>
      <c r="L198">
        <v>2423.1</v>
      </c>
      <c r="M198">
        <v>2166.02</v>
      </c>
      <c r="N198">
        <v>2096.13</v>
      </c>
      <c r="O198">
        <v>2516.89</v>
      </c>
      <c r="P198">
        <v>2769.31</v>
      </c>
      <c r="Q198">
        <v>2906.55</v>
      </c>
      <c r="R198">
        <v>3313.08</v>
      </c>
      <c r="S198">
        <v>3657.08</v>
      </c>
      <c r="T198">
        <v>3894.57</v>
      </c>
      <c r="U198">
        <v>4078.1</v>
      </c>
      <c r="V198">
        <v>4781.3999999999996</v>
      </c>
      <c r="W198">
        <v>4848.6899999999996</v>
      </c>
      <c r="X198">
        <v>5425.36</v>
      </c>
      <c r="Y198">
        <f t="shared" si="3"/>
        <v>1.0052430591655428E-3</v>
      </c>
    </row>
    <row r="199" spans="1:25" x14ac:dyDescent="0.2">
      <c r="A199" t="s">
        <v>690</v>
      </c>
      <c r="B199" t="s">
        <v>691</v>
      </c>
      <c r="C199" t="s">
        <v>692</v>
      </c>
      <c r="D199" t="s">
        <v>7</v>
      </c>
      <c r="E199">
        <v>518.72</v>
      </c>
      <c r="F199">
        <v>663.28</v>
      </c>
      <c r="G199">
        <v>828.12</v>
      </c>
      <c r="H199">
        <v>1316.29</v>
      </c>
      <c r="I199">
        <v>1364.83</v>
      </c>
      <c r="J199">
        <v>1063.57</v>
      </c>
      <c r="K199">
        <v>673.59</v>
      </c>
      <c r="L199">
        <v>1061.1199999999999</v>
      </c>
      <c r="M199">
        <v>938.27</v>
      </c>
      <c r="N199">
        <v>711.32</v>
      </c>
      <c r="O199">
        <v>1224.32</v>
      </c>
      <c r="P199">
        <v>990.37</v>
      </c>
      <c r="Q199">
        <v>1331.39</v>
      </c>
      <c r="R199">
        <v>1336.38</v>
      </c>
      <c r="S199">
        <v>2218.16</v>
      </c>
      <c r="T199">
        <v>524.03</v>
      </c>
      <c r="U199">
        <v>742.55</v>
      </c>
      <c r="V199">
        <v>3224.95</v>
      </c>
      <c r="W199">
        <v>4617.41</v>
      </c>
      <c r="X199">
        <v>5333.27</v>
      </c>
      <c r="Y199">
        <f t="shared" si="3"/>
        <v>9.881800747150078E-4</v>
      </c>
    </row>
    <row r="200" spans="1:25" x14ac:dyDescent="0.2">
      <c r="A200" t="s">
        <v>612</v>
      </c>
      <c r="B200" t="s">
        <v>613</v>
      </c>
      <c r="C200" t="s">
        <v>614</v>
      </c>
      <c r="D200" t="s">
        <v>7</v>
      </c>
      <c r="E200">
        <v>515.92999999999995</v>
      </c>
      <c r="F200">
        <v>719.24</v>
      </c>
      <c r="G200">
        <v>710.74</v>
      </c>
      <c r="H200">
        <v>791.72</v>
      </c>
      <c r="I200">
        <v>694.21</v>
      </c>
      <c r="J200">
        <v>1096.7</v>
      </c>
      <c r="K200">
        <v>1620.88</v>
      </c>
      <c r="L200">
        <v>1417.96</v>
      </c>
      <c r="M200">
        <v>1981.47</v>
      </c>
      <c r="N200">
        <v>2152.96</v>
      </c>
      <c r="O200">
        <v>2324.0700000000002</v>
      </c>
      <c r="P200">
        <v>1761.32</v>
      </c>
      <c r="Q200">
        <v>2214.7199999999998</v>
      </c>
      <c r="R200">
        <v>2945.47</v>
      </c>
      <c r="S200">
        <v>2986.41</v>
      </c>
      <c r="T200">
        <v>3579.83</v>
      </c>
      <c r="U200">
        <v>4754.88</v>
      </c>
      <c r="V200">
        <v>4201.34</v>
      </c>
      <c r="W200">
        <v>6353.14</v>
      </c>
      <c r="X200">
        <v>5280.94</v>
      </c>
      <c r="Y200">
        <f t="shared" si="3"/>
        <v>9.7848406020424107E-4</v>
      </c>
    </row>
    <row r="201" spans="1:25" x14ac:dyDescent="0.2">
      <c r="A201" t="s">
        <v>621</v>
      </c>
      <c r="B201" t="s">
        <v>622</v>
      </c>
      <c r="C201" t="s">
        <v>623</v>
      </c>
      <c r="D201" t="s">
        <v>7</v>
      </c>
      <c r="E201">
        <v>805.45</v>
      </c>
      <c r="F201" t="s">
        <v>11</v>
      </c>
      <c r="G201">
        <v>1315.11</v>
      </c>
      <c r="H201">
        <v>1659.26</v>
      </c>
      <c r="I201">
        <v>1749.84</v>
      </c>
      <c r="J201">
        <v>1897.96</v>
      </c>
      <c r="K201">
        <v>2143</v>
      </c>
      <c r="L201">
        <v>2178.08</v>
      </c>
      <c r="M201">
        <v>2239.4699999999998</v>
      </c>
      <c r="N201">
        <v>2353.13</v>
      </c>
      <c r="O201">
        <v>2499.34</v>
      </c>
      <c r="P201">
        <v>2647.02</v>
      </c>
      <c r="Q201">
        <v>2646.79</v>
      </c>
      <c r="R201">
        <v>2864.94</v>
      </c>
      <c r="S201">
        <v>3010.16</v>
      </c>
      <c r="T201">
        <v>3121.49</v>
      </c>
      <c r="U201">
        <v>3600.24</v>
      </c>
      <c r="V201">
        <v>4224.67</v>
      </c>
      <c r="W201">
        <v>4634.67</v>
      </c>
      <c r="X201">
        <v>5257.13</v>
      </c>
      <c r="Y201">
        <f t="shared" si="3"/>
        <v>9.7407240139473687E-4</v>
      </c>
    </row>
    <row r="202" spans="1:25" x14ac:dyDescent="0.2">
      <c r="A202" t="s">
        <v>120</v>
      </c>
      <c r="B202" t="s">
        <v>121</v>
      </c>
      <c r="C202" t="s">
        <v>122</v>
      </c>
      <c r="D202" t="s">
        <v>7</v>
      </c>
      <c r="E202">
        <v>4686.53</v>
      </c>
      <c r="F202">
        <v>4726.9799999999996</v>
      </c>
      <c r="G202">
        <v>5034.7700000000004</v>
      </c>
      <c r="H202">
        <v>4669.54</v>
      </c>
      <c r="I202">
        <v>4188.79</v>
      </c>
      <c r="J202">
        <v>3807.95</v>
      </c>
      <c r="K202">
        <v>3641.9</v>
      </c>
      <c r="L202">
        <v>3462.01</v>
      </c>
      <c r="M202">
        <v>3598.39</v>
      </c>
      <c r="N202">
        <v>3720.37</v>
      </c>
      <c r="O202">
        <v>3865.31</v>
      </c>
      <c r="P202">
        <v>4031.67</v>
      </c>
      <c r="Q202">
        <v>4034.44</v>
      </c>
      <c r="R202">
        <v>4046.29</v>
      </c>
      <c r="S202">
        <v>3865.43</v>
      </c>
      <c r="T202">
        <v>3880.81</v>
      </c>
      <c r="U202">
        <v>4028.79</v>
      </c>
      <c r="V202">
        <v>4482.2700000000004</v>
      </c>
      <c r="W202">
        <v>5160.97</v>
      </c>
      <c r="X202">
        <v>5189.58</v>
      </c>
      <c r="Y202">
        <f t="shared" si="3"/>
        <v>9.6155633450763028E-4</v>
      </c>
    </row>
    <row r="203" spans="1:25" x14ac:dyDescent="0.2">
      <c r="A203" t="s">
        <v>684</v>
      </c>
      <c r="B203" t="s">
        <v>685</v>
      </c>
      <c r="C203" t="s">
        <v>686</v>
      </c>
      <c r="D203" t="s">
        <v>7</v>
      </c>
      <c r="E203">
        <v>423.72</v>
      </c>
      <c r="F203">
        <v>581.62</v>
      </c>
      <c r="G203">
        <v>777.81</v>
      </c>
      <c r="H203">
        <v>834.69</v>
      </c>
      <c r="I203">
        <v>917.63</v>
      </c>
      <c r="J203">
        <v>1318.29</v>
      </c>
      <c r="K203">
        <v>1150.28</v>
      </c>
      <c r="L203" t="s">
        <v>11</v>
      </c>
      <c r="M203">
        <v>1367.93</v>
      </c>
      <c r="N203">
        <v>1864.88</v>
      </c>
      <c r="O203">
        <v>2406.36</v>
      </c>
      <c r="P203">
        <v>2667.08</v>
      </c>
      <c r="Q203">
        <v>2743.85</v>
      </c>
      <c r="R203">
        <v>3327.41</v>
      </c>
      <c r="S203">
        <v>3341.43</v>
      </c>
      <c r="T203">
        <v>3501.19</v>
      </c>
      <c r="U203">
        <v>4313.8599999999997</v>
      </c>
      <c r="V203">
        <v>4664.74</v>
      </c>
      <c r="W203">
        <v>4382.26</v>
      </c>
      <c r="X203">
        <v>4835.01</v>
      </c>
      <c r="Y203">
        <f t="shared" si="3"/>
        <v>8.9585949015290984E-4</v>
      </c>
    </row>
    <row r="204" spans="1:25" x14ac:dyDescent="0.2">
      <c r="A204" t="s">
        <v>636</v>
      </c>
      <c r="B204" t="s">
        <v>637</v>
      </c>
      <c r="C204" t="s">
        <v>638</v>
      </c>
      <c r="D204" t="s">
        <v>7</v>
      </c>
      <c r="E204">
        <v>890.06</v>
      </c>
      <c r="F204">
        <v>972.29</v>
      </c>
      <c r="G204">
        <v>1068.21</v>
      </c>
      <c r="H204">
        <v>1296.3</v>
      </c>
      <c r="I204">
        <v>1436.31</v>
      </c>
      <c r="J204">
        <v>1586.27</v>
      </c>
      <c r="K204">
        <v>1897.33</v>
      </c>
      <c r="L204">
        <v>1903.49</v>
      </c>
      <c r="M204">
        <v>1917.98</v>
      </c>
      <c r="N204">
        <v>2084.4499999999998</v>
      </c>
      <c r="O204">
        <v>2117.0100000000002</v>
      </c>
      <c r="P204">
        <v>2167.6999999999998</v>
      </c>
      <c r="Q204">
        <v>2353.4899999999998</v>
      </c>
      <c r="R204">
        <v>2433.83</v>
      </c>
      <c r="S204">
        <v>2906.16</v>
      </c>
      <c r="T204">
        <v>2916.94</v>
      </c>
      <c r="U204">
        <v>3271.88</v>
      </c>
      <c r="V204">
        <v>3790.83</v>
      </c>
      <c r="W204">
        <v>4321.63</v>
      </c>
      <c r="X204">
        <v>4513.97</v>
      </c>
      <c r="Y204">
        <f t="shared" si="3"/>
        <v>8.3637528418049401E-4</v>
      </c>
    </row>
    <row r="205" spans="1:25" x14ac:dyDescent="0.2">
      <c r="A205" t="s">
        <v>696</v>
      </c>
      <c r="B205" t="s">
        <v>697</v>
      </c>
      <c r="C205" t="s">
        <v>698</v>
      </c>
      <c r="D205" t="s">
        <v>7</v>
      </c>
      <c r="E205" t="s">
        <v>11</v>
      </c>
      <c r="F205" t="s">
        <v>11</v>
      </c>
      <c r="G205" t="s">
        <v>11</v>
      </c>
      <c r="H205" t="s">
        <v>11</v>
      </c>
      <c r="I205" t="s">
        <v>11</v>
      </c>
      <c r="J205">
        <v>2178.8000000000002</v>
      </c>
      <c r="K205">
        <v>2691.91</v>
      </c>
      <c r="L205">
        <v>2851.33</v>
      </c>
      <c r="M205">
        <v>2825.34</v>
      </c>
      <c r="N205">
        <v>2872.02</v>
      </c>
      <c r="O205">
        <v>2808.39</v>
      </c>
      <c r="P205">
        <v>3107.36</v>
      </c>
      <c r="Q205">
        <v>3746.29</v>
      </c>
      <c r="R205">
        <v>3054.66</v>
      </c>
      <c r="S205">
        <v>3514.06</v>
      </c>
      <c r="T205">
        <v>3430.15</v>
      </c>
      <c r="U205">
        <v>3638.86</v>
      </c>
      <c r="V205" t="s">
        <v>11</v>
      </c>
      <c r="W205">
        <v>4061.98</v>
      </c>
      <c r="X205">
        <v>4421.1499999999996</v>
      </c>
      <c r="Y205">
        <f t="shared" si="3"/>
        <v>8.1917704097603456E-4</v>
      </c>
    </row>
    <row r="206" spans="1:25" x14ac:dyDescent="0.2">
      <c r="A206" t="s">
        <v>216</v>
      </c>
      <c r="B206" t="s">
        <v>217</v>
      </c>
      <c r="C206" t="s">
        <v>218</v>
      </c>
      <c r="D206" t="s">
        <v>7</v>
      </c>
      <c r="E206">
        <v>1361.79</v>
      </c>
      <c r="F206">
        <v>1376.36</v>
      </c>
      <c r="G206">
        <v>1636.68</v>
      </c>
      <c r="H206">
        <v>1970.2</v>
      </c>
      <c r="I206" t="s">
        <v>11</v>
      </c>
      <c r="J206">
        <v>1830.2</v>
      </c>
      <c r="K206">
        <v>2543.02</v>
      </c>
      <c r="L206" t="s">
        <v>11</v>
      </c>
      <c r="M206">
        <v>2234.08</v>
      </c>
      <c r="N206">
        <v>3283.92</v>
      </c>
      <c r="O206">
        <v>3133.04</v>
      </c>
      <c r="P206">
        <v>2953.57</v>
      </c>
      <c r="Q206">
        <v>3515.11</v>
      </c>
      <c r="R206">
        <v>3993.62</v>
      </c>
      <c r="S206">
        <v>3787.66</v>
      </c>
      <c r="T206">
        <v>3859.19</v>
      </c>
      <c r="U206">
        <v>5690.55</v>
      </c>
      <c r="V206">
        <v>7195.75</v>
      </c>
      <c r="W206">
        <v>5269.3</v>
      </c>
      <c r="X206">
        <v>4195.93</v>
      </c>
      <c r="Y206">
        <f t="shared" si="3"/>
        <v>7.7744693610091791E-4</v>
      </c>
    </row>
    <row r="207" spans="1:25" x14ac:dyDescent="0.2">
      <c r="A207" t="s">
        <v>711</v>
      </c>
      <c r="B207" t="s">
        <v>712</v>
      </c>
      <c r="C207" t="s">
        <v>713</v>
      </c>
      <c r="D207" t="s">
        <v>7</v>
      </c>
      <c r="E207" t="s">
        <v>11</v>
      </c>
      <c r="F207" t="s">
        <v>11</v>
      </c>
      <c r="G207" t="s">
        <v>11</v>
      </c>
      <c r="H207">
        <v>75.069999999999993</v>
      </c>
      <c r="I207" t="s">
        <v>11</v>
      </c>
      <c r="J207" t="s">
        <v>11</v>
      </c>
      <c r="K207">
        <v>189.39</v>
      </c>
      <c r="L207">
        <v>231.37</v>
      </c>
      <c r="M207">
        <v>375.83</v>
      </c>
      <c r="N207">
        <v>482.08</v>
      </c>
      <c r="O207">
        <v>805.09</v>
      </c>
      <c r="P207">
        <v>1101.6099999999999</v>
      </c>
      <c r="Q207">
        <v>1127.6300000000001</v>
      </c>
      <c r="R207">
        <v>1299.51</v>
      </c>
      <c r="S207">
        <v>1624.36</v>
      </c>
      <c r="T207">
        <v>1740</v>
      </c>
      <c r="U207">
        <v>2036.15</v>
      </c>
      <c r="V207">
        <v>2777.03</v>
      </c>
      <c r="W207">
        <v>3564.72</v>
      </c>
      <c r="X207">
        <v>4088.69</v>
      </c>
      <c r="Y207">
        <f t="shared" si="3"/>
        <v>7.5757686929154254E-4</v>
      </c>
    </row>
    <row r="208" spans="1:25" x14ac:dyDescent="0.2">
      <c r="A208" t="s">
        <v>72</v>
      </c>
      <c r="B208" t="s">
        <v>73</v>
      </c>
      <c r="C208" t="s">
        <v>74</v>
      </c>
      <c r="D208" t="s">
        <v>7</v>
      </c>
      <c r="E208">
        <v>175.99</v>
      </c>
      <c r="F208">
        <v>193.63</v>
      </c>
      <c r="G208" t="s">
        <v>11</v>
      </c>
      <c r="H208">
        <v>197.68</v>
      </c>
      <c r="I208">
        <v>244.34</v>
      </c>
      <c r="J208">
        <v>409.01</v>
      </c>
      <c r="K208">
        <v>561.39</v>
      </c>
      <c r="L208">
        <v>746.21</v>
      </c>
      <c r="M208">
        <v>1272.03</v>
      </c>
      <c r="N208">
        <v>1341.7</v>
      </c>
      <c r="O208">
        <v>1579.36</v>
      </c>
      <c r="P208">
        <v>1744.31</v>
      </c>
      <c r="Q208">
        <v>2058.12</v>
      </c>
      <c r="R208">
        <v>2337.58</v>
      </c>
      <c r="S208">
        <v>2477.25</v>
      </c>
      <c r="T208">
        <v>2342.34</v>
      </c>
      <c r="U208">
        <v>2167.31</v>
      </c>
      <c r="V208">
        <v>2701.22</v>
      </c>
      <c r="W208">
        <v>3549.4</v>
      </c>
      <c r="X208">
        <v>3763.63</v>
      </c>
      <c r="Y208">
        <f t="shared" si="3"/>
        <v>6.973478137427215E-4</v>
      </c>
    </row>
    <row r="209" spans="1:25" x14ac:dyDescent="0.2">
      <c r="A209" t="s">
        <v>714</v>
      </c>
      <c r="B209" t="s">
        <v>715</v>
      </c>
      <c r="C209" t="s">
        <v>716</v>
      </c>
      <c r="D209" t="s">
        <v>7</v>
      </c>
      <c r="E209" t="s">
        <v>11</v>
      </c>
      <c r="F209" t="s">
        <v>11</v>
      </c>
      <c r="G209" t="s">
        <v>11</v>
      </c>
      <c r="H209">
        <v>362.29</v>
      </c>
      <c r="I209">
        <v>820.53</v>
      </c>
      <c r="J209">
        <v>1444.62</v>
      </c>
      <c r="K209">
        <v>2250.63</v>
      </c>
      <c r="L209">
        <v>2005.79</v>
      </c>
      <c r="M209">
        <v>2129.0500000000002</v>
      </c>
      <c r="N209">
        <v>1463.11</v>
      </c>
      <c r="O209">
        <v>1808</v>
      </c>
      <c r="P209">
        <v>1388.35</v>
      </c>
      <c r="Q209">
        <v>1534.3</v>
      </c>
      <c r="R209">
        <v>1572.43</v>
      </c>
      <c r="S209">
        <v>1905.7</v>
      </c>
      <c r="T209">
        <v>2126</v>
      </c>
      <c r="U209">
        <v>2650.4</v>
      </c>
      <c r="V209">
        <v>3174.81</v>
      </c>
      <c r="W209">
        <v>3511.81</v>
      </c>
      <c r="X209">
        <v>3751.65</v>
      </c>
      <c r="Y209">
        <f t="shared" si="3"/>
        <v>6.9512808789064847E-4</v>
      </c>
    </row>
    <row r="210" spans="1:25" x14ac:dyDescent="0.2">
      <c r="A210" t="s">
        <v>807</v>
      </c>
      <c r="B210" t="s">
        <v>808</v>
      </c>
      <c r="C210" t="s">
        <v>809</v>
      </c>
      <c r="D210" t="s">
        <v>7</v>
      </c>
      <c r="E210">
        <v>746.65</v>
      </c>
      <c r="F210">
        <v>693.98</v>
      </c>
      <c r="G210" t="s">
        <v>11</v>
      </c>
      <c r="H210" t="s">
        <v>11</v>
      </c>
      <c r="I210">
        <v>1220.92</v>
      </c>
      <c r="J210">
        <v>1318.18</v>
      </c>
      <c r="K210">
        <v>1259.43</v>
      </c>
      <c r="L210">
        <v>1391.4</v>
      </c>
      <c r="M210" t="s">
        <v>11</v>
      </c>
      <c r="N210" t="s">
        <v>11</v>
      </c>
      <c r="O210">
        <v>1913.55</v>
      </c>
      <c r="P210" t="s">
        <v>11</v>
      </c>
      <c r="Q210">
        <v>2345.3000000000002</v>
      </c>
      <c r="R210">
        <v>2686.27</v>
      </c>
      <c r="S210">
        <v>3001.32</v>
      </c>
      <c r="T210">
        <v>2231.12</v>
      </c>
      <c r="U210">
        <v>2406.9</v>
      </c>
      <c r="V210">
        <v>2568.64</v>
      </c>
      <c r="W210" t="s">
        <v>11</v>
      </c>
      <c r="X210">
        <v>3424.73</v>
      </c>
      <c r="Y210">
        <f t="shared" si="3"/>
        <v>6.3455440044826684E-4</v>
      </c>
    </row>
    <row r="211" spans="1:25" x14ac:dyDescent="0.2">
      <c r="A211" t="s">
        <v>537</v>
      </c>
      <c r="B211" t="s">
        <v>538</v>
      </c>
      <c r="C211" t="s">
        <v>539</v>
      </c>
      <c r="D211" t="s">
        <v>7</v>
      </c>
      <c r="E211">
        <v>582.66</v>
      </c>
      <c r="F211">
        <v>672.08</v>
      </c>
      <c r="G211">
        <v>725.81</v>
      </c>
      <c r="H211">
        <v>854.67</v>
      </c>
      <c r="I211">
        <v>820.63</v>
      </c>
      <c r="J211">
        <v>876.68</v>
      </c>
      <c r="K211">
        <v>918.37</v>
      </c>
      <c r="L211">
        <v>999.67</v>
      </c>
      <c r="M211">
        <v>1016.61</v>
      </c>
      <c r="N211">
        <v>1109.42</v>
      </c>
      <c r="O211" t="s">
        <v>11</v>
      </c>
      <c r="P211">
        <v>1238.1300000000001</v>
      </c>
      <c r="Q211">
        <v>1295.29</v>
      </c>
      <c r="R211">
        <v>1484.4</v>
      </c>
      <c r="S211">
        <v>1569.57</v>
      </c>
      <c r="T211">
        <v>1221.96</v>
      </c>
      <c r="U211">
        <v>1493.82</v>
      </c>
      <c r="V211">
        <v>2392.3200000000002</v>
      </c>
      <c r="W211">
        <v>2746.05</v>
      </c>
      <c r="X211">
        <v>3323.2</v>
      </c>
      <c r="Y211">
        <f t="shared" si="3"/>
        <v>6.1574231649492962E-4</v>
      </c>
    </row>
    <row r="212" spans="1:25" x14ac:dyDescent="0.2">
      <c r="A212" t="s">
        <v>648</v>
      </c>
      <c r="B212" t="s">
        <v>649</v>
      </c>
      <c r="C212" t="s">
        <v>650</v>
      </c>
      <c r="D212" t="s">
        <v>7</v>
      </c>
      <c r="E212">
        <v>471.67</v>
      </c>
      <c r="F212">
        <v>489.93</v>
      </c>
      <c r="G212">
        <v>646.02</v>
      </c>
      <c r="H212">
        <v>799.27</v>
      </c>
      <c r="I212">
        <v>909.78</v>
      </c>
      <c r="J212">
        <v>890.97</v>
      </c>
      <c r="K212">
        <v>1236.51</v>
      </c>
      <c r="L212">
        <v>1141.3399999999999</v>
      </c>
      <c r="M212">
        <v>1037.3399999999999</v>
      </c>
      <c r="N212">
        <v>1186.1099999999999</v>
      </c>
      <c r="O212">
        <v>1199.3399999999999</v>
      </c>
      <c r="P212">
        <v>1270.96</v>
      </c>
      <c r="Q212">
        <v>1423.65</v>
      </c>
      <c r="R212">
        <v>1630.75</v>
      </c>
      <c r="S212">
        <v>2211.0500000000002</v>
      </c>
      <c r="T212">
        <v>1749.87</v>
      </c>
      <c r="U212">
        <v>1982.99</v>
      </c>
      <c r="V212">
        <v>2660.49</v>
      </c>
      <c r="W212">
        <v>3119.09</v>
      </c>
      <c r="X212">
        <v>3261.8</v>
      </c>
      <c r="Y212">
        <f t="shared" si="3"/>
        <v>6.0436575828814445E-4</v>
      </c>
    </row>
    <row r="213" spans="1:25" x14ac:dyDescent="0.2">
      <c r="A213" t="s">
        <v>21</v>
      </c>
      <c r="B213" t="s">
        <v>22</v>
      </c>
      <c r="C213" t="s">
        <v>23</v>
      </c>
      <c r="D213" t="s">
        <v>7</v>
      </c>
      <c r="E213">
        <v>939.56</v>
      </c>
      <c r="F213">
        <v>976.14</v>
      </c>
      <c r="G213">
        <v>1069.94</v>
      </c>
      <c r="H213">
        <v>972.28</v>
      </c>
      <c r="I213">
        <v>1083.06</v>
      </c>
      <c r="J213">
        <v>1201.33</v>
      </c>
      <c r="K213">
        <v>1455.75</v>
      </c>
      <c r="L213">
        <v>1550.46</v>
      </c>
      <c r="M213">
        <v>1248.78</v>
      </c>
      <c r="N213">
        <v>1461.4</v>
      </c>
      <c r="O213">
        <v>1846.39</v>
      </c>
      <c r="P213">
        <v>1282.1300000000001</v>
      </c>
      <c r="Q213">
        <v>1467.55</v>
      </c>
      <c r="R213">
        <v>1543.29</v>
      </c>
      <c r="S213">
        <v>1736.47</v>
      </c>
      <c r="T213">
        <v>1493.97</v>
      </c>
      <c r="U213">
        <v>1833.58</v>
      </c>
      <c r="V213">
        <v>2418.7600000000002</v>
      </c>
      <c r="W213">
        <v>3161.14</v>
      </c>
      <c r="X213">
        <v>3024.17</v>
      </c>
      <c r="Y213">
        <f t="shared" si="3"/>
        <v>5.6033625459631423E-4</v>
      </c>
    </row>
    <row r="214" spans="1:25" x14ac:dyDescent="0.2">
      <c r="A214" t="s">
        <v>330</v>
      </c>
      <c r="B214" t="s">
        <v>331</v>
      </c>
      <c r="C214" t="s">
        <v>332</v>
      </c>
      <c r="D214" t="s">
        <v>7</v>
      </c>
      <c r="E214">
        <v>924.03</v>
      </c>
      <c r="F214">
        <v>1031.78</v>
      </c>
      <c r="G214">
        <v>1145.74</v>
      </c>
      <c r="H214">
        <v>1202.3599999999999</v>
      </c>
      <c r="I214" t="s">
        <v>11</v>
      </c>
      <c r="J214">
        <v>1131.6600000000001</v>
      </c>
      <c r="K214">
        <v>1172.56</v>
      </c>
      <c r="L214">
        <v>1203.6600000000001</v>
      </c>
      <c r="M214">
        <v>1271.96</v>
      </c>
      <c r="N214">
        <v>1423.88</v>
      </c>
      <c r="O214">
        <v>1536.81</v>
      </c>
      <c r="P214">
        <v>1807.19</v>
      </c>
      <c r="Q214">
        <v>1884.12</v>
      </c>
      <c r="R214">
        <v>1983.77</v>
      </c>
      <c r="S214">
        <v>2138.89</v>
      </c>
      <c r="T214">
        <v>2108.21</v>
      </c>
      <c r="U214">
        <v>2844.51</v>
      </c>
      <c r="V214">
        <v>3712.97</v>
      </c>
      <c r="W214" t="s">
        <v>11</v>
      </c>
      <c r="X214">
        <v>2793.64</v>
      </c>
      <c r="Y214">
        <f t="shared" si="3"/>
        <v>5.1762228125087125E-4</v>
      </c>
    </row>
    <row r="215" spans="1:25" x14ac:dyDescent="0.2">
      <c r="A215" t="s">
        <v>660</v>
      </c>
      <c r="B215" t="s">
        <v>661</v>
      </c>
      <c r="C215" t="s">
        <v>662</v>
      </c>
      <c r="D215" t="s">
        <v>7</v>
      </c>
      <c r="E215">
        <v>3788.77</v>
      </c>
      <c r="F215">
        <v>3541.4</v>
      </c>
      <c r="G215">
        <v>2576.17</v>
      </c>
      <c r="H215">
        <v>3337.64</v>
      </c>
      <c r="I215">
        <v>3488.97</v>
      </c>
      <c r="J215">
        <v>830.19</v>
      </c>
      <c r="K215">
        <v>1083.3800000000001</v>
      </c>
      <c r="L215">
        <v>1018.75</v>
      </c>
      <c r="M215">
        <v>1038.83</v>
      </c>
      <c r="N215">
        <v>1131.5</v>
      </c>
      <c r="O215">
        <v>1367.66</v>
      </c>
      <c r="P215">
        <v>1604.39</v>
      </c>
      <c r="Q215">
        <v>1702.25</v>
      </c>
      <c r="R215">
        <v>1711.5</v>
      </c>
      <c r="S215">
        <v>2091.25</v>
      </c>
      <c r="T215">
        <v>2511.92</v>
      </c>
      <c r="U215">
        <v>2984.84</v>
      </c>
      <c r="V215">
        <v>2097.08</v>
      </c>
      <c r="W215">
        <v>2399.9299999999998</v>
      </c>
      <c r="X215">
        <v>2768.56</v>
      </c>
      <c r="Y215">
        <f t="shared" si="3"/>
        <v>5.1297530926673162E-4</v>
      </c>
    </row>
    <row r="216" spans="1:25" x14ac:dyDescent="0.2">
      <c r="A216" t="s">
        <v>801</v>
      </c>
      <c r="B216" t="s">
        <v>802</v>
      </c>
      <c r="C216" t="s">
        <v>803</v>
      </c>
      <c r="D216" t="s">
        <v>7</v>
      </c>
      <c r="E216">
        <v>941.12</v>
      </c>
      <c r="F216">
        <v>1181.46</v>
      </c>
      <c r="G216">
        <v>1602.13</v>
      </c>
      <c r="H216">
        <v>1694.05</v>
      </c>
      <c r="I216">
        <v>2129.23</v>
      </c>
      <c r="J216">
        <v>847.27</v>
      </c>
      <c r="K216">
        <v>724.68</v>
      </c>
      <c r="L216">
        <v>1101.49</v>
      </c>
      <c r="M216">
        <v>1852.15</v>
      </c>
      <c r="N216">
        <v>1791.46</v>
      </c>
      <c r="O216">
        <v>2058.79</v>
      </c>
      <c r="P216">
        <v>1877.19</v>
      </c>
      <c r="Q216">
        <v>1534.81</v>
      </c>
      <c r="R216">
        <v>1306.79</v>
      </c>
      <c r="S216">
        <v>1325.32</v>
      </c>
      <c r="T216">
        <v>1598.43</v>
      </c>
      <c r="U216">
        <v>1804.97</v>
      </c>
      <c r="V216">
        <v>2121.9</v>
      </c>
      <c r="W216">
        <v>2706</v>
      </c>
      <c r="X216">
        <v>2484.84</v>
      </c>
      <c r="Y216">
        <f t="shared" si="3"/>
        <v>4.604059754812413E-4</v>
      </c>
    </row>
    <row r="217" spans="1:25" x14ac:dyDescent="0.2">
      <c r="A217" t="s">
        <v>495</v>
      </c>
      <c r="B217" t="s">
        <v>496</v>
      </c>
      <c r="C217" t="s">
        <v>497</v>
      </c>
      <c r="D217" t="s">
        <v>7</v>
      </c>
      <c r="E217">
        <v>1191.04</v>
      </c>
      <c r="F217">
        <v>1240.08</v>
      </c>
      <c r="G217">
        <v>1271.03</v>
      </c>
      <c r="H217">
        <v>1298.02</v>
      </c>
      <c r="I217">
        <v>852.7</v>
      </c>
      <c r="J217">
        <v>708.91</v>
      </c>
      <c r="K217">
        <v>605.09</v>
      </c>
      <c r="L217">
        <v>690.46</v>
      </c>
      <c r="M217">
        <v>440.47</v>
      </c>
      <c r="N217">
        <v>762.12</v>
      </c>
      <c r="O217">
        <v>698.85</v>
      </c>
      <c r="P217">
        <v>613.89</v>
      </c>
      <c r="Q217">
        <v>818.79</v>
      </c>
      <c r="R217">
        <v>732.1</v>
      </c>
      <c r="S217">
        <v>1185.98</v>
      </c>
      <c r="T217">
        <v>2994.21</v>
      </c>
      <c r="U217">
        <v>3156.76</v>
      </c>
      <c r="V217">
        <v>4453.72</v>
      </c>
      <c r="W217">
        <v>2154.41</v>
      </c>
      <c r="X217">
        <v>2355.2199999999998</v>
      </c>
      <c r="Y217">
        <f t="shared" si="3"/>
        <v>4.3638920879128192E-4</v>
      </c>
    </row>
    <row r="218" spans="1:25" x14ac:dyDescent="0.2">
      <c r="A218" t="s">
        <v>303</v>
      </c>
      <c r="B218" t="s">
        <v>304</v>
      </c>
      <c r="C218" t="s">
        <v>305</v>
      </c>
      <c r="D218" t="s">
        <v>7</v>
      </c>
      <c r="E218">
        <v>1157.31</v>
      </c>
      <c r="F218">
        <v>1411.13</v>
      </c>
      <c r="G218">
        <v>1645.9</v>
      </c>
      <c r="H218">
        <v>1694.54</v>
      </c>
      <c r="I218">
        <v>1230.24</v>
      </c>
      <c r="J218">
        <v>1048.77</v>
      </c>
      <c r="K218">
        <v>1362.24</v>
      </c>
      <c r="L218">
        <v>1496.22</v>
      </c>
      <c r="M218">
        <v>1549.51</v>
      </c>
      <c r="N218">
        <v>1566.04</v>
      </c>
      <c r="O218">
        <v>1703.16</v>
      </c>
      <c r="P218">
        <v>1878.95</v>
      </c>
      <c r="Q218">
        <v>1858.6</v>
      </c>
      <c r="R218">
        <v>2077.6</v>
      </c>
      <c r="S218">
        <v>2135.48</v>
      </c>
      <c r="T218">
        <v>1744.82</v>
      </c>
      <c r="U218">
        <v>2368.71</v>
      </c>
      <c r="V218">
        <v>3245.94</v>
      </c>
      <c r="W218">
        <v>3220.03</v>
      </c>
      <c r="X218">
        <v>2282.9</v>
      </c>
      <c r="Y218">
        <f t="shared" si="3"/>
        <v>4.2298932785456037E-4</v>
      </c>
    </row>
    <row r="219" spans="1:25" x14ac:dyDescent="0.2">
      <c r="A219" t="s">
        <v>651</v>
      </c>
      <c r="B219" t="s">
        <v>652</v>
      </c>
      <c r="C219" t="s">
        <v>653</v>
      </c>
      <c r="D219" t="s">
        <v>7</v>
      </c>
      <c r="E219">
        <v>42.89</v>
      </c>
      <c r="F219">
        <v>55.56</v>
      </c>
      <c r="G219" t="s">
        <v>11</v>
      </c>
      <c r="H219" t="s">
        <v>11</v>
      </c>
      <c r="I219">
        <v>137.1</v>
      </c>
      <c r="J219">
        <v>219.44</v>
      </c>
      <c r="K219">
        <v>360.39</v>
      </c>
      <c r="L219">
        <v>326.95999999999998</v>
      </c>
      <c r="M219">
        <v>290.52</v>
      </c>
      <c r="N219">
        <v>492.54</v>
      </c>
      <c r="O219">
        <v>743.38</v>
      </c>
      <c r="P219">
        <v>505.92</v>
      </c>
      <c r="Q219">
        <v>490.58</v>
      </c>
      <c r="R219">
        <v>752.46</v>
      </c>
      <c r="S219">
        <v>713.61</v>
      </c>
      <c r="T219">
        <v>869.05</v>
      </c>
      <c r="U219">
        <v>1294.82</v>
      </c>
      <c r="V219">
        <v>1780.75</v>
      </c>
      <c r="W219">
        <v>2040.46</v>
      </c>
      <c r="X219">
        <v>2261.19</v>
      </c>
      <c r="Y219">
        <f t="shared" si="3"/>
        <v>4.1896676957004397E-4</v>
      </c>
    </row>
    <row r="220" spans="1:25" x14ac:dyDescent="0.2">
      <c r="A220" t="s">
        <v>402</v>
      </c>
      <c r="B220" t="s">
        <v>403</v>
      </c>
      <c r="C220" t="s">
        <v>404</v>
      </c>
      <c r="D220" t="s">
        <v>7</v>
      </c>
      <c r="E220">
        <v>661.76</v>
      </c>
      <c r="F220">
        <v>894.65</v>
      </c>
      <c r="G220">
        <v>1287.03</v>
      </c>
      <c r="H220">
        <v>2174.29</v>
      </c>
      <c r="I220">
        <v>1808.53</v>
      </c>
      <c r="J220">
        <v>2057.42</v>
      </c>
      <c r="K220">
        <v>1807.53</v>
      </c>
      <c r="L220">
        <v>1500.89</v>
      </c>
      <c r="M220">
        <v>1304.49</v>
      </c>
      <c r="N220">
        <v>1515.63</v>
      </c>
      <c r="O220">
        <v>1764.33</v>
      </c>
      <c r="P220">
        <v>1232.1600000000001</v>
      </c>
      <c r="Q220">
        <v>1385.19</v>
      </c>
      <c r="R220">
        <v>1278.5999999999999</v>
      </c>
      <c r="S220">
        <v>1385.84</v>
      </c>
      <c r="T220">
        <v>1525</v>
      </c>
      <c r="U220">
        <v>1658.65</v>
      </c>
      <c r="V220">
        <v>1799.18</v>
      </c>
      <c r="W220">
        <v>1837.14</v>
      </c>
      <c r="X220">
        <v>2108</v>
      </c>
      <c r="Y220">
        <f t="shared" si="3"/>
        <v>3.9058281270200763E-4</v>
      </c>
    </row>
    <row r="221" spans="1:25" x14ac:dyDescent="0.2">
      <c r="A221" t="s">
        <v>192</v>
      </c>
      <c r="B221" t="s">
        <v>193</v>
      </c>
      <c r="C221" t="s">
        <v>194</v>
      </c>
      <c r="D221" t="s">
        <v>7</v>
      </c>
      <c r="E221">
        <v>610.16999999999996</v>
      </c>
      <c r="F221">
        <v>723.93</v>
      </c>
      <c r="G221">
        <v>887.86</v>
      </c>
      <c r="H221">
        <v>904.26</v>
      </c>
      <c r="I221">
        <v>807.43</v>
      </c>
      <c r="J221">
        <v>1023.16</v>
      </c>
      <c r="K221">
        <v>1205.44</v>
      </c>
      <c r="L221">
        <v>1165.9000000000001</v>
      </c>
      <c r="M221" t="s">
        <v>11</v>
      </c>
      <c r="N221" t="s">
        <v>11</v>
      </c>
      <c r="O221">
        <v>1319.88</v>
      </c>
      <c r="P221">
        <v>1248.17</v>
      </c>
      <c r="Q221">
        <v>1425.22</v>
      </c>
      <c r="R221">
        <v>1789.9</v>
      </c>
      <c r="S221">
        <v>1511.54</v>
      </c>
      <c r="T221">
        <v>1481.35</v>
      </c>
      <c r="U221">
        <v>1902.81</v>
      </c>
      <c r="V221">
        <v>2532.87</v>
      </c>
      <c r="W221">
        <v>2185.0100000000002</v>
      </c>
      <c r="X221">
        <v>2063.29</v>
      </c>
      <c r="Y221">
        <f t="shared" si="3"/>
        <v>3.8229867723905373E-4</v>
      </c>
    </row>
    <row r="222" spans="1:25" x14ac:dyDescent="0.2">
      <c r="A222" t="s">
        <v>336</v>
      </c>
      <c r="B222" t="s">
        <v>337</v>
      </c>
      <c r="C222" t="s">
        <v>338</v>
      </c>
      <c r="D222" t="s">
        <v>7</v>
      </c>
      <c r="E222">
        <v>182.88</v>
      </c>
      <c r="F222">
        <v>181.77</v>
      </c>
      <c r="G222">
        <v>215.44</v>
      </c>
      <c r="H222">
        <v>1118.94</v>
      </c>
      <c r="I222" t="s">
        <v>11</v>
      </c>
      <c r="J222">
        <v>1066.83</v>
      </c>
      <c r="K222">
        <v>1863.93</v>
      </c>
      <c r="L222">
        <v>3143.81</v>
      </c>
      <c r="M222">
        <v>1562.71</v>
      </c>
      <c r="N222">
        <v>1205.56</v>
      </c>
      <c r="O222">
        <v>879.75</v>
      </c>
      <c r="P222">
        <v>1067.1600000000001</v>
      </c>
      <c r="Q222">
        <v>1366.53</v>
      </c>
      <c r="R222">
        <v>1267.5999999999999</v>
      </c>
      <c r="S222">
        <v>1204.3499999999999</v>
      </c>
      <c r="T222">
        <v>1414.46</v>
      </c>
      <c r="U222">
        <v>1658.32</v>
      </c>
      <c r="V222">
        <v>1950.83</v>
      </c>
      <c r="W222">
        <v>1658.1</v>
      </c>
      <c r="X222">
        <v>1980.52</v>
      </c>
      <c r="Y222">
        <f t="shared" si="3"/>
        <v>3.6696255797560726E-4</v>
      </c>
    </row>
    <row r="223" spans="1:25" x14ac:dyDescent="0.2">
      <c r="A223" t="s">
        <v>234</v>
      </c>
      <c r="B223" t="s">
        <v>235</v>
      </c>
      <c r="C223" t="s">
        <v>236</v>
      </c>
      <c r="D223" t="s">
        <v>7</v>
      </c>
      <c r="E223">
        <v>741.25</v>
      </c>
      <c r="F223">
        <v>926.18</v>
      </c>
      <c r="G223">
        <v>1201.74</v>
      </c>
      <c r="H223">
        <v>1349.12</v>
      </c>
      <c r="I223" t="s">
        <v>11</v>
      </c>
      <c r="J223">
        <v>2299.61</v>
      </c>
      <c r="K223">
        <v>2326.35</v>
      </c>
      <c r="L223">
        <v>2653.65</v>
      </c>
      <c r="M223">
        <v>2191.4699999999998</v>
      </c>
      <c r="N223">
        <v>2628.07</v>
      </c>
      <c r="O223">
        <v>3037.97</v>
      </c>
      <c r="P223">
        <v>3143.66</v>
      </c>
      <c r="Q223">
        <v>1882.23</v>
      </c>
      <c r="R223">
        <v>2274.04</v>
      </c>
      <c r="S223">
        <v>2306.0500000000002</v>
      </c>
      <c r="T223">
        <v>2411.66</v>
      </c>
      <c r="U223">
        <v>2225.62</v>
      </c>
      <c r="V223">
        <v>2388.9</v>
      </c>
      <c r="W223">
        <v>2544.7399999999998</v>
      </c>
      <c r="X223">
        <v>1801.81</v>
      </c>
      <c r="Y223">
        <f t="shared" si="3"/>
        <v>3.3385010329914816E-4</v>
      </c>
    </row>
    <row r="224" spans="1:25" x14ac:dyDescent="0.2">
      <c r="A224" t="s">
        <v>717</v>
      </c>
      <c r="B224" t="s">
        <v>718</v>
      </c>
      <c r="C224" t="s">
        <v>719</v>
      </c>
      <c r="D224" t="s">
        <v>7</v>
      </c>
      <c r="E224">
        <v>314.8</v>
      </c>
      <c r="F224">
        <v>386.13</v>
      </c>
      <c r="G224">
        <v>468.67</v>
      </c>
      <c r="H224">
        <v>601.74</v>
      </c>
      <c r="I224" t="s">
        <v>11</v>
      </c>
      <c r="J224" t="s">
        <v>11</v>
      </c>
      <c r="K224">
        <v>537.54999999999995</v>
      </c>
      <c r="L224">
        <v>496.36</v>
      </c>
      <c r="M224">
        <v>505.35</v>
      </c>
      <c r="N224">
        <v>491.1</v>
      </c>
      <c r="O224">
        <v>556.17999999999995</v>
      </c>
      <c r="P224">
        <v>644.4</v>
      </c>
      <c r="Q224">
        <v>727.9</v>
      </c>
      <c r="R224">
        <v>836.36</v>
      </c>
      <c r="S224">
        <v>846.21</v>
      </c>
      <c r="T224">
        <v>478.97</v>
      </c>
      <c r="U224">
        <v>495.44</v>
      </c>
      <c r="V224">
        <v>998.42</v>
      </c>
      <c r="W224">
        <v>1533.1</v>
      </c>
      <c r="X224">
        <v>1795.91</v>
      </c>
      <c r="Y224">
        <f t="shared" si="3"/>
        <v>3.3275691610989684E-4</v>
      </c>
    </row>
    <row r="225" spans="1:25" x14ac:dyDescent="0.2">
      <c r="A225" t="s">
        <v>132</v>
      </c>
      <c r="B225" t="s">
        <v>133</v>
      </c>
      <c r="C225" t="s">
        <v>134</v>
      </c>
      <c r="D225" t="s">
        <v>7</v>
      </c>
      <c r="E225">
        <v>1463.4</v>
      </c>
      <c r="F225">
        <v>1549.37</v>
      </c>
      <c r="G225">
        <v>1650.2</v>
      </c>
      <c r="H225">
        <v>1474.46</v>
      </c>
      <c r="I225">
        <v>1429.24</v>
      </c>
      <c r="J225">
        <v>1502.13</v>
      </c>
      <c r="K225">
        <v>1688.26</v>
      </c>
      <c r="L225">
        <v>1769.49</v>
      </c>
      <c r="M225">
        <v>2048.1999999999998</v>
      </c>
      <c r="N225">
        <v>2280.02</v>
      </c>
      <c r="O225">
        <v>2190.58</v>
      </c>
      <c r="P225">
        <v>2324.91</v>
      </c>
      <c r="Q225">
        <v>2401.71</v>
      </c>
      <c r="R225">
        <v>2139.88</v>
      </c>
      <c r="S225">
        <v>2128.2399999999998</v>
      </c>
      <c r="T225">
        <v>1744.33</v>
      </c>
      <c r="U225">
        <v>1777.33</v>
      </c>
      <c r="V225">
        <v>1884.08</v>
      </c>
      <c r="W225">
        <v>1788.64</v>
      </c>
      <c r="X225">
        <v>1743.47</v>
      </c>
      <c r="Y225">
        <f t="shared" si="3"/>
        <v>3.230405201430594E-4</v>
      </c>
    </row>
    <row r="226" spans="1:25" x14ac:dyDescent="0.2">
      <c r="A226" t="s">
        <v>771</v>
      </c>
      <c r="B226" t="s">
        <v>772</v>
      </c>
      <c r="C226" t="s">
        <v>773</v>
      </c>
      <c r="D226" t="s">
        <v>7</v>
      </c>
      <c r="E226" t="s">
        <v>11</v>
      </c>
      <c r="F226" t="s">
        <v>11</v>
      </c>
      <c r="G226" t="s">
        <v>11</v>
      </c>
      <c r="H226" t="s">
        <v>11</v>
      </c>
      <c r="I226" t="s">
        <v>11</v>
      </c>
      <c r="J226">
        <v>57.8</v>
      </c>
      <c r="K226">
        <v>81.680000000000007</v>
      </c>
      <c r="L226">
        <v>51.13</v>
      </c>
      <c r="M226">
        <v>88.21</v>
      </c>
      <c r="N226">
        <v>131.61000000000001</v>
      </c>
      <c r="O226">
        <v>249.59</v>
      </c>
      <c r="P226">
        <v>319.67</v>
      </c>
      <c r="Q226">
        <v>319.82</v>
      </c>
      <c r="R226">
        <v>438.65</v>
      </c>
      <c r="S226">
        <v>540.95000000000005</v>
      </c>
      <c r="T226">
        <v>669.52</v>
      </c>
      <c r="U226">
        <v>849.5</v>
      </c>
      <c r="V226">
        <v>1691.28</v>
      </c>
      <c r="W226">
        <v>1612.75</v>
      </c>
      <c r="X226">
        <v>1638.29</v>
      </c>
      <c r="Y226">
        <f t="shared" si="3"/>
        <v>3.0355214242010057E-4</v>
      </c>
    </row>
    <row r="227" spans="1:25" x14ac:dyDescent="0.2">
      <c r="A227" t="s">
        <v>789</v>
      </c>
      <c r="B227" t="s">
        <v>790</v>
      </c>
      <c r="C227" t="s">
        <v>791</v>
      </c>
      <c r="D227" t="s">
        <v>7</v>
      </c>
      <c r="E227">
        <v>270.22000000000003</v>
      </c>
      <c r="F227">
        <v>403.65</v>
      </c>
      <c r="G227">
        <v>648.35</v>
      </c>
      <c r="H227">
        <v>895.77</v>
      </c>
      <c r="I227">
        <v>1391.44</v>
      </c>
      <c r="J227">
        <v>1237.57</v>
      </c>
      <c r="K227">
        <v>1200.25</v>
      </c>
      <c r="L227">
        <v>1120.23</v>
      </c>
      <c r="M227">
        <v>1020.16</v>
      </c>
      <c r="N227">
        <v>415.62</v>
      </c>
      <c r="O227">
        <v>334.88</v>
      </c>
      <c r="P227">
        <v>467.24</v>
      </c>
      <c r="Q227">
        <v>533.23</v>
      </c>
      <c r="R227">
        <v>655.56</v>
      </c>
      <c r="S227">
        <v>796.93</v>
      </c>
      <c r="T227">
        <v>491.6</v>
      </c>
      <c r="U227">
        <v>783.67</v>
      </c>
      <c r="V227">
        <v>1244.3900000000001</v>
      </c>
      <c r="W227">
        <v>1302.43</v>
      </c>
      <c r="X227">
        <v>1551.52</v>
      </c>
      <c r="Y227">
        <f t="shared" si="3"/>
        <v>2.8747487929953457E-4</v>
      </c>
    </row>
    <row r="228" spans="1:25" x14ac:dyDescent="0.2">
      <c r="A228" t="s">
        <v>66</v>
      </c>
      <c r="B228" t="s">
        <v>67</v>
      </c>
      <c r="C228" t="s">
        <v>68</v>
      </c>
      <c r="D228" t="s">
        <v>7</v>
      </c>
      <c r="E228">
        <v>703.53</v>
      </c>
      <c r="F228">
        <v>720.99</v>
      </c>
      <c r="G228">
        <v>748.29</v>
      </c>
      <c r="H228">
        <v>1057.71</v>
      </c>
      <c r="I228">
        <v>777.17</v>
      </c>
      <c r="J228">
        <v>944.05</v>
      </c>
      <c r="K228">
        <v>1565.81</v>
      </c>
      <c r="L228">
        <v>1305.22</v>
      </c>
      <c r="M228">
        <v>1220.56</v>
      </c>
      <c r="N228">
        <v>1047.93</v>
      </c>
      <c r="O228">
        <v>1022.36</v>
      </c>
      <c r="P228">
        <v>956.7</v>
      </c>
      <c r="Q228">
        <v>945.27</v>
      </c>
      <c r="R228">
        <v>1026.8499999999999</v>
      </c>
      <c r="S228">
        <v>1018.58</v>
      </c>
      <c r="T228">
        <v>939.56</v>
      </c>
      <c r="U228">
        <v>1230.82</v>
      </c>
      <c r="V228">
        <v>1611.93</v>
      </c>
      <c r="W228">
        <v>1434.13</v>
      </c>
      <c r="X228">
        <v>1446.2</v>
      </c>
      <c r="Y228">
        <f t="shared" si="3"/>
        <v>2.6796056154157661E-4</v>
      </c>
    </row>
    <row r="229" spans="1:25" x14ac:dyDescent="0.2">
      <c r="A229" t="s">
        <v>525</v>
      </c>
      <c r="B229" t="s">
        <v>526</v>
      </c>
      <c r="C229" t="s">
        <v>527</v>
      </c>
      <c r="D229" t="s">
        <v>7</v>
      </c>
      <c r="E229">
        <v>395.1</v>
      </c>
      <c r="F229">
        <v>409.01</v>
      </c>
      <c r="G229">
        <v>435.29</v>
      </c>
      <c r="H229">
        <v>497.64</v>
      </c>
      <c r="I229" t="s">
        <v>11</v>
      </c>
      <c r="J229" t="s">
        <v>11</v>
      </c>
      <c r="K229" t="s">
        <v>11</v>
      </c>
      <c r="L229" t="s">
        <v>11</v>
      </c>
      <c r="M229" t="s">
        <v>11</v>
      </c>
      <c r="N229" t="s">
        <v>11</v>
      </c>
      <c r="O229" t="s">
        <v>11</v>
      </c>
      <c r="P229">
        <v>691.36</v>
      </c>
      <c r="Q229">
        <v>669.42</v>
      </c>
      <c r="R229">
        <v>734.32</v>
      </c>
      <c r="S229">
        <v>780.42</v>
      </c>
      <c r="T229">
        <v>503.28</v>
      </c>
      <c r="U229" t="s">
        <v>11</v>
      </c>
      <c r="V229" t="s">
        <v>11</v>
      </c>
      <c r="W229">
        <v>1242.3699999999999</v>
      </c>
      <c r="X229">
        <v>1415.45</v>
      </c>
      <c r="Y229">
        <f t="shared" si="3"/>
        <v>2.6226301813996999E-4</v>
      </c>
    </row>
    <row r="230" spans="1:25" x14ac:dyDescent="0.2">
      <c r="A230" t="s">
        <v>744</v>
      </c>
      <c r="B230" t="s">
        <v>745</v>
      </c>
      <c r="C230" t="s">
        <v>746</v>
      </c>
      <c r="D230" t="s">
        <v>7</v>
      </c>
      <c r="E230">
        <v>436.43</v>
      </c>
      <c r="F230">
        <v>509.99</v>
      </c>
      <c r="G230">
        <v>768.58</v>
      </c>
      <c r="H230">
        <v>1050</v>
      </c>
      <c r="I230">
        <v>1117.8</v>
      </c>
      <c r="J230">
        <v>1222.8499999999999</v>
      </c>
      <c r="K230">
        <v>1234.67</v>
      </c>
      <c r="L230">
        <v>1180.18</v>
      </c>
      <c r="M230">
        <v>1343.96</v>
      </c>
      <c r="N230">
        <v>1453.91</v>
      </c>
      <c r="O230">
        <v>1233.3800000000001</v>
      </c>
      <c r="P230">
        <v>1094.8900000000001</v>
      </c>
      <c r="Q230">
        <v>1076.58</v>
      </c>
      <c r="R230">
        <v>1322.37</v>
      </c>
      <c r="S230">
        <v>1485.78</v>
      </c>
      <c r="T230">
        <v>831.91</v>
      </c>
      <c r="U230">
        <v>984.05</v>
      </c>
      <c r="V230">
        <v>1018.33</v>
      </c>
      <c r="W230">
        <v>1524.04</v>
      </c>
      <c r="X230">
        <v>1385.44</v>
      </c>
      <c r="Y230">
        <f t="shared" si="3"/>
        <v>2.5670258635193048E-4</v>
      </c>
    </row>
    <row r="231" spans="1:25" x14ac:dyDescent="0.2">
      <c r="A231" t="s">
        <v>423</v>
      </c>
      <c r="B231" t="s">
        <v>424</v>
      </c>
      <c r="C231" t="s">
        <v>425</v>
      </c>
      <c r="D231" t="s">
        <v>7</v>
      </c>
      <c r="E231">
        <v>68.849999999999994</v>
      </c>
      <c r="F231">
        <v>127.08</v>
      </c>
      <c r="G231" t="s">
        <v>11</v>
      </c>
      <c r="H231">
        <v>263.31</v>
      </c>
      <c r="I231" t="s">
        <v>11</v>
      </c>
      <c r="J231" t="s">
        <v>11</v>
      </c>
      <c r="K231" t="s">
        <v>11</v>
      </c>
      <c r="L231" t="s">
        <v>11</v>
      </c>
      <c r="M231">
        <v>325.56</v>
      </c>
      <c r="N231">
        <v>316.58</v>
      </c>
      <c r="O231">
        <v>375.83</v>
      </c>
      <c r="P231">
        <v>408.16</v>
      </c>
      <c r="Q231">
        <v>396.74</v>
      </c>
      <c r="R231">
        <v>387.19</v>
      </c>
      <c r="S231">
        <v>558.72</v>
      </c>
      <c r="T231">
        <v>731.03</v>
      </c>
      <c r="U231">
        <v>925.78</v>
      </c>
      <c r="V231">
        <v>1286.17</v>
      </c>
      <c r="W231" t="s">
        <v>11</v>
      </c>
      <c r="X231">
        <v>1369.73</v>
      </c>
      <c r="Y231">
        <f t="shared" si="3"/>
        <v>2.5379174385309339E-4</v>
      </c>
    </row>
    <row r="232" spans="1:25" x14ac:dyDescent="0.2">
      <c r="A232" t="s">
        <v>327</v>
      </c>
      <c r="B232" t="s">
        <v>328</v>
      </c>
      <c r="C232" t="s">
        <v>329</v>
      </c>
      <c r="D232" t="s">
        <v>7</v>
      </c>
      <c r="E232" t="s">
        <v>11</v>
      </c>
      <c r="F232" t="s">
        <v>11</v>
      </c>
      <c r="G232" t="s">
        <v>11</v>
      </c>
      <c r="H232" t="s">
        <v>11</v>
      </c>
      <c r="I232" t="s">
        <v>11</v>
      </c>
      <c r="J232">
        <v>1074.25</v>
      </c>
      <c r="K232">
        <v>1129.57</v>
      </c>
      <c r="L232">
        <v>1242.24</v>
      </c>
      <c r="M232">
        <v>733.12</v>
      </c>
      <c r="N232">
        <v>606.02</v>
      </c>
      <c r="O232">
        <v>789.45</v>
      </c>
      <c r="P232">
        <v>817.43</v>
      </c>
      <c r="Q232">
        <v>636.4</v>
      </c>
      <c r="R232">
        <v>609.83000000000004</v>
      </c>
      <c r="S232">
        <v>679.89</v>
      </c>
      <c r="T232">
        <v>966.6</v>
      </c>
      <c r="U232">
        <v>690.53</v>
      </c>
      <c r="V232">
        <v>617.59</v>
      </c>
      <c r="W232" t="s">
        <v>11</v>
      </c>
      <c r="X232">
        <v>1298.8699999999999</v>
      </c>
      <c r="Y232">
        <f t="shared" si="3"/>
        <v>2.4066238042422041E-4</v>
      </c>
    </row>
    <row r="233" spans="1:25" x14ac:dyDescent="0.2">
      <c r="A233" t="s">
        <v>345</v>
      </c>
      <c r="B233" t="s">
        <v>346</v>
      </c>
      <c r="C233" t="s">
        <v>347</v>
      </c>
      <c r="D233" t="s">
        <v>7</v>
      </c>
      <c r="E233">
        <v>181.36</v>
      </c>
      <c r="F233">
        <v>197.89</v>
      </c>
      <c r="G233">
        <v>229.18</v>
      </c>
      <c r="H233">
        <v>264.88</v>
      </c>
      <c r="I233">
        <v>347.87</v>
      </c>
      <c r="J233">
        <v>414.97</v>
      </c>
      <c r="K233">
        <v>521.65</v>
      </c>
      <c r="L233">
        <v>521.16</v>
      </c>
      <c r="M233">
        <v>457.59</v>
      </c>
      <c r="N233">
        <v>497.63</v>
      </c>
      <c r="O233">
        <v>475.21</v>
      </c>
      <c r="P233">
        <v>566.39</v>
      </c>
      <c r="Q233">
        <v>628.91</v>
      </c>
      <c r="R233">
        <v>601.17999999999995</v>
      </c>
      <c r="S233">
        <v>682.79</v>
      </c>
      <c r="T233">
        <v>781.98</v>
      </c>
      <c r="U233">
        <v>1231.57</v>
      </c>
      <c r="V233">
        <v>1380.28</v>
      </c>
      <c r="W233">
        <v>1499.09</v>
      </c>
      <c r="X233">
        <v>1234.4000000000001</v>
      </c>
      <c r="Y233">
        <f t="shared" si="3"/>
        <v>2.2871699430709595E-4</v>
      </c>
    </row>
    <row r="234" spans="1:25" x14ac:dyDescent="0.2">
      <c r="A234" t="s">
        <v>579</v>
      </c>
      <c r="B234" t="s">
        <v>580</v>
      </c>
      <c r="C234" t="s">
        <v>581</v>
      </c>
      <c r="D234" t="s">
        <v>7</v>
      </c>
      <c r="E234">
        <v>230.99</v>
      </c>
      <c r="F234">
        <v>297.89999999999998</v>
      </c>
      <c r="G234">
        <v>407.69</v>
      </c>
      <c r="H234">
        <v>473.86</v>
      </c>
      <c r="I234">
        <v>544</v>
      </c>
      <c r="J234">
        <v>400.5</v>
      </c>
      <c r="K234">
        <v>456.45</v>
      </c>
      <c r="L234">
        <v>521.95000000000005</v>
      </c>
      <c r="M234">
        <v>555.74</v>
      </c>
      <c r="N234">
        <v>580.6</v>
      </c>
      <c r="O234">
        <v>603.85</v>
      </c>
      <c r="P234">
        <v>648.46</v>
      </c>
      <c r="Q234">
        <v>411.95</v>
      </c>
      <c r="R234">
        <v>680.79</v>
      </c>
      <c r="S234">
        <v>807.95</v>
      </c>
      <c r="T234">
        <v>749.42</v>
      </c>
      <c r="U234">
        <v>919.16</v>
      </c>
      <c r="V234">
        <v>1134.44</v>
      </c>
      <c r="W234">
        <v>1309.28</v>
      </c>
      <c r="X234">
        <v>1230.24</v>
      </c>
      <c r="Y234">
        <f t="shared" si="3"/>
        <v>2.2794620469569158E-4</v>
      </c>
    </row>
    <row r="235" spans="1:25" x14ac:dyDescent="0.2">
      <c r="A235" t="s">
        <v>708</v>
      </c>
      <c r="B235" t="s">
        <v>709</v>
      </c>
      <c r="C235" t="s">
        <v>710</v>
      </c>
      <c r="D235" t="s">
        <v>7</v>
      </c>
      <c r="E235">
        <v>184.27</v>
      </c>
      <c r="F235">
        <v>239.59</v>
      </c>
      <c r="G235">
        <v>356.12</v>
      </c>
      <c r="H235">
        <v>410</v>
      </c>
      <c r="I235">
        <v>464.62</v>
      </c>
      <c r="J235">
        <v>579.97</v>
      </c>
      <c r="K235">
        <v>553.61</v>
      </c>
      <c r="L235">
        <v>681.75</v>
      </c>
      <c r="M235">
        <v>729.84</v>
      </c>
      <c r="N235">
        <v>784.07</v>
      </c>
      <c r="O235">
        <v>765.54</v>
      </c>
      <c r="P235">
        <v>710.45</v>
      </c>
      <c r="Q235">
        <v>728.77</v>
      </c>
      <c r="R235">
        <v>890.18</v>
      </c>
      <c r="S235">
        <v>908.43</v>
      </c>
      <c r="T235">
        <v>873.78</v>
      </c>
      <c r="U235">
        <v>794.88</v>
      </c>
      <c r="V235">
        <v>938.56</v>
      </c>
      <c r="W235">
        <v>1121.8399999999999</v>
      </c>
      <c r="X235">
        <v>1213.54</v>
      </c>
      <c r="Y235">
        <f t="shared" si="3"/>
        <v>2.2485192909221742E-4</v>
      </c>
    </row>
    <row r="236" spans="1:25" x14ac:dyDescent="0.2">
      <c r="A236" t="s">
        <v>69</v>
      </c>
      <c r="B236" t="s">
        <v>70</v>
      </c>
      <c r="C236" t="s">
        <v>71</v>
      </c>
      <c r="D236" t="s">
        <v>7</v>
      </c>
      <c r="E236">
        <v>418.55</v>
      </c>
      <c r="F236">
        <v>456.17</v>
      </c>
      <c r="G236" t="s">
        <v>11</v>
      </c>
      <c r="H236">
        <v>735.91</v>
      </c>
      <c r="I236">
        <v>1025.0899999999999</v>
      </c>
      <c r="J236">
        <v>1479.36</v>
      </c>
      <c r="K236">
        <v>1482.39</v>
      </c>
      <c r="L236">
        <v>1288.44</v>
      </c>
      <c r="M236">
        <v>1705.12</v>
      </c>
      <c r="N236">
        <v>1712.67</v>
      </c>
      <c r="O236">
        <v>1270.8699999999999</v>
      </c>
      <c r="P236">
        <v>771.6</v>
      </c>
      <c r="Q236">
        <v>837.84</v>
      </c>
      <c r="R236">
        <v>1010.84</v>
      </c>
      <c r="S236">
        <v>1045.94</v>
      </c>
      <c r="T236">
        <v>983.16</v>
      </c>
      <c r="U236">
        <v>910.47</v>
      </c>
      <c r="V236">
        <v>1007.73</v>
      </c>
      <c r="W236">
        <v>1248.28</v>
      </c>
      <c r="X236">
        <v>1114.23</v>
      </c>
      <c r="Y236">
        <f t="shared" si="3"/>
        <v>2.0645117997958158E-4</v>
      </c>
    </row>
    <row r="237" spans="1:25" x14ac:dyDescent="0.2">
      <c r="A237" t="s">
        <v>555</v>
      </c>
      <c r="B237" t="s">
        <v>556</v>
      </c>
      <c r="C237" t="s">
        <v>557</v>
      </c>
      <c r="D237" t="s">
        <v>7</v>
      </c>
      <c r="E237">
        <v>767</v>
      </c>
      <c r="F237">
        <v>802.46</v>
      </c>
      <c r="G237">
        <v>918.82</v>
      </c>
      <c r="H237">
        <v>861.56</v>
      </c>
      <c r="I237">
        <v>778.53</v>
      </c>
      <c r="J237">
        <v>705.36</v>
      </c>
      <c r="K237">
        <v>657.21</v>
      </c>
      <c r="L237">
        <v>767.53</v>
      </c>
      <c r="M237">
        <v>793.89</v>
      </c>
      <c r="N237">
        <v>741.98</v>
      </c>
      <c r="O237">
        <v>819.72</v>
      </c>
      <c r="P237">
        <v>825.11</v>
      </c>
      <c r="Q237">
        <v>840.06</v>
      </c>
      <c r="R237">
        <v>920.13</v>
      </c>
      <c r="S237">
        <v>945.33</v>
      </c>
      <c r="T237">
        <v>959.22</v>
      </c>
      <c r="U237">
        <v>1023.59</v>
      </c>
      <c r="V237">
        <v>1010.85</v>
      </c>
      <c r="W237">
        <v>1222.56</v>
      </c>
      <c r="X237">
        <v>1097.1199999999999</v>
      </c>
      <c r="Y237">
        <f t="shared" si="3"/>
        <v>2.0328093713075263E-4</v>
      </c>
    </row>
    <row r="238" spans="1:25" x14ac:dyDescent="0.2">
      <c r="A238" t="s">
        <v>36</v>
      </c>
      <c r="B238" t="s">
        <v>37</v>
      </c>
      <c r="C238" t="s">
        <v>38</v>
      </c>
      <c r="D238" t="s">
        <v>7</v>
      </c>
      <c r="E238">
        <v>94.74</v>
      </c>
      <c r="F238">
        <v>147.55000000000001</v>
      </c>
      <c r="G238">
        <v>198.98</v>
      </c>
      <c r="H238">
        <v>255.87</v>
      </c>
      <c r="I238">
        <v>231.57</v>
      </c>
      <c r="J238">
        <v>277.48</v>
      </c>
      <c r="K238">
        <v>266.61</v>
      </c>
      <c r="L238">
        <v>316.99</v>
      </c>
      <c r="M238">
        <v>352.42</v>
      </c>
      <c r="N238">
        <v>479.28</v>
      </c>
      <c r="O238">
        <v>496.99</v>
      </c>
      <c r="P238">
        <v>496.71</v>
      </c>
      <c r="Q238">
        <v>403.84</v>
      </c>
      <c r="R238">
        <v>663.07</v>
      </c>
      <c r="S238">
        <v>616.86</v>
      </c>
      <c r="T238">
        <v>619.6</v>
      </c>
      <c r="U238">
        <v>699.4</v>
      </c>
      <c r="V238">
        <v>902.23</v>
      </c>
      <c r="W238">
        <v>1085.0999999999999</v>
      </c>
      <c r="X238">
        <v>1067.98</v>
      </c>
      <c r="Y238">
        <f t="shared" si="3"/>
        <v>1.9788170413163666E-4</v>
      </c>
    </row>
    <row r="239" spans="1:25" x14ac:dyDescent="0.2">
      <c r="A239" t="s">
        <v>114</v>
      </c>
      <c r="B239" t="s">
        <v>115</v>
      </c>
      <c r="C239" t="s">
        <v>116</v>
      </c>
      <c r="D239" t="s">
        <v>7</v>
      </c>
      <c r="E239">
        <v>796.04</v>
      </c>
      <c r="F239">
        <v>816.17</v>
      </c>
      <c r="G239">
        <v>882.89</v>
      </c>
      <c r="H239">
        <v>810.6</v>
      </c>
      <c r="I239">
        <v>1022.37</v>
      </c>
      <c r="J239">
        <v>658.18</v>
      </c>
      <c r="K239" t="s">
        <v>11</v>
      </c>
      <c r="L239" t="s">
        <v>11</v>
      </c>
      <c r="M239" t="s">
        <v>11</v>
      </c>
      <c r="N239">
        <v>596.03</v>
      </c>
      <c r="O239">
        <v>663.44</v>
      </c>
      <c r="P239">
        <v>733.43</v>
      </c>
      <c r="Q239">
        <v>744.06</v>
      </c>
      <c r="R239">
        <v>686.63</v>
      </c>
      <c r="S239">
        <v>755.51</v>
      </c>
      <c r="T239">
        <v>733.95</v>
      </c>
      <c r="U239">
        <v>800.64</v>
      </c>
      <c r="V239">
        <v>922.94</v>
      </c>
      <c r="W239">
        <v>974</v>
      </c>
      <c r="X239">
        <v>1054.23</v>
      </c>
      <c r="Y239">
        <f t="shared" si="3"/>
        <v>1.9533402212278819E-4</v>
      </c>
    </row>
    <row r="240" spans="1:25" x14ac:dyDescent="0.2">
      <c r="A240" t="s">
        <v>384</v>
      </c>
      <c r="B240" t="s">
        <v>385</v>
      </c>
      <c r="C240" t="s">
        <v>386</v>
      </c>
      <c r="D240" t="s">
        <v>7</v>
      </c>
      <c r="E240" t="s">
        <v>11</v>
      </c>
      <c r="F240" t="s">
        <v>11</v>
      </c>
      <c r="G240" t="s">
        <v>11</v>
      </c>
      <c r="H240" t="s">
        <v>11</v>
      </c>
      <c r="I240">
        <v>66.16</v>
      </c>
      <c r="J240">
        <v>130.22999999999999</v>
      </c>
      <c r="K240">
        <v>110.37</v>
      </c>
      <c r="L240">
        <v>240.58</v>
      </c>
      <c r="M240">
        <v>216.73</v>
      </c>
      <c r="N240">
        <v>374.66</v>
      </c>
      <c r="O240">
        <v>496.98</v>
      </c>
      <c r="P240">
        <v>616.76</v>
      </c>
      <c r="Q240">
        <v>869.26</v>
      </c>
      <c r="R240">
        <v>847.96</v>
      </c>
      <c r="S240">
        <v>796.58</v>
      </c>
      <c r="T240">
        <v>708.01</v>
      </c>
      <c r="U240">
        <v>1017.88</v>
      </c>
      <c r="V240">
        <v>1088.3399999999999</v>
      </c>
      <c r="W240">
        <v>1167.8900000000001</v>
      </c>
      <c r="X240">
        <v>1043.43</v>
      </c>
      <c r="Y240">
        <f t="shared" si="3"/>
        <v>1.9333293370856538E-4</v>
      </c>
    </row>
    <row r="241" spans="1:25" x14ac:dyDescent="0.2">
      <c r="A241" t="s">
        <v>12</v>
      </c>
      <c r="B241" t="s">
        <v>13</v>
      </c>
      <c r="C241" t="s">
        <v>14</v>
      </c>
      <c r="D241" t="s">
        <v>7</v>
      </c>
      <c r="E241">
        <v>276.72000000000003</v>
      </c>
      <c r="F241">
        <v>287.8</v>
      </c>
      <c r="G241">
        <v>338</v>
      </c>
      <c r="H241" t="s">
        <v>11</v>
      </c>
      <c r="I241">
        <v>315.83</v>
      </c>
      <c r="J241">
        <v>328</v>
      </c>
      <c r="K241">
        <v>340.54</v>
      </c>
      <c r="L241">
        <v>426.08</v>
      </c>
      <c r="M241">
        <v>589.84</v>
      </c>
      <c r="N241">
        <v>623.97</v>
      </c>
      <c r="O241">
        <v>517.52</v>
      </c>
      <c r="P241">
        <v>512.01</v>
      </c>
      <c r="Q241">
        <v>684.52</v>
      </c>
      <c r="R241">
        <v>603.21</v>
      </c>
      <c r="S241">
        <v>647.79999999999995</v>
      </c>
      <c r="T241">
        <v>675.53</v>
      </c>
      <c r="U241">
        <v>677.87</v>
      </c>
      <c r="V241">
        <v>813.64</v>
      </c>
      <c r="W241">
        <v>1062.51</v>
      </c>
      <c r="X241">
        <v>1035.8900000000001</v>
      </c>
      <c r="Y241">
        <f t="shared" si="3"/>
        <v>1.9193587753789504E-4</v>
      </c>
    </row>
    <row r="242" spans="1:25" x14ac:dyDescent="0.2">
      <c r="A242" t="s">
        <v>675</v>
      </c>
      <c r="B242" t="s">
        <v>676</v>
      </c>
      <c r="C242" t="s">
        <v>677</v>
      </c>
      <c r="D242" t="s">
        <v>7</v>
      </c>
      <c r="E242" t="s">
        <v>11</v>
      </c>
      <c r="F242" t="s">
        <v>11</v>
      </c>
      <c r="G242" t="s">
        <v>11</v>
      </c>
      <c r="H242" t="s">
        <v>11</v>
      </c>
      <c r="I242" t="s">
        <v>11</v>
      </c>
      <c r="J242" t="s">
        <v>11</v>
      </c>
      <c r="K242">
        <v>257.29000000000002</v>
      </c>
      <c r="L242">
        <v>182.1</v>
      </c>
      <c r="M242">
        <v>311.08999999999997</v>
      </c>
      <c r="N242">
        <v>335.76</v>
      </c>
      <c r="O242">
        <v>402.37</v>
      </c>
      <c r="P242">
        <v>402.43</v>
      </c>
      <c r="Q242">
        <v>440.91</v>
      </c>
      <c r="R242">
        <v>1757.59</v>
      </c>
      <c r="S242">
        <v>1812.62</v>
      </c>
      <c r="T242">
        <v>1694.01</v>
      </c>
      <c r="U242">
        <v>2696.07</v>
      </c>
      <c r="V242">
        <v>2552.83</v>
      </c>
      <c r="W242" t="s">
        <v>11</v>
      </c>
      <c r="X242">
        <v>981.87</v>
      </c>
      <c r="Y242">
        <f t="shared" si="3"/>
        <v>1.8192672974749537E-4</v>
      </c>
    </row>
    <row r="243" spans="1:25" x14ac:dyDescent="0.2">
      <c r="A243" t="s">
        <v>111</v>
      </c>
      <c r="B243" t="s">
        <v>112</v>
      </c>
      <c r="C243" t="s">
        <v>113</v>
      </c>
      <c r="D243" t="s">
        <v>7</v>
      </c>
      <c r="E243">
        <v>1280.5999999999999</v>
      </c>
      <c r="F243">
        <v>1124.46</v>
      </c>
      <c r="G243">
        <v>1052.95</v>
      </c>
      <c r="H243">
        <v>967.72</v>
      </c>
      <c r="I243">
        <v>835.71</v>
      </c>
      <c r="J243">
        <v>842.46</v>
      </c>
      <c r="K243">
        <v>860.22</v>
      </c>
      <c r="L243">
        <v>783.92</v>
      </c>
      <c r="M243">
        <v>821.69</v>
      </c>
      <c r="N243">
        <v>901.8</v>
      </c>
      <c r="O243">
        <v>901.6</v>
      </c>
      <c r="P243">
        <v>948.49</v>
      </c>
      <c r="Q243">
        <v>799.54</v>
      </c>
      <c r="R243">
        <v>842.22</v>
      </c>
      <c r="S243">
        <v>916.14</v>
      </c>
      <c r="T243">
        <v>804.08</v>
      </c>
      <c r="U243">
        <v>865.85</v>
      </c>
      <c r="V243">
        <v>902.07</v>
      </c>
      <c r="W243">
        <v>1005.13</v>
      </c>
      <c r="X243">
        <v>956.62</v>
      </c>
      <c r="Y243">
        <f t="shared" si="3"/>
        <v>1.7724825914942815E-4</v>
      </c>
    </row>
    <row r="244" spans="1:25" x14ac:dyDescent="0.2">
      <c r="A244" t="s">
        <v>507</v>
      </c>
      <c r="B244" t="s">
        <v>508</v>
      </c>
      <c r="C244" t="s">
        <v>509</v>
      </c>
      <c r="D244" t="s">
        <v>7</v>
      </c>
      <c r="E244" t="s">
        <v>11</v>
      </c>
      <c r="F244" t="s">
        <v>11</v>
      </c>
      <c r="G244" t="s">
        <v>11</v>
      </c>
      <c r="H244" t="s">
        <v>11</v>
      </c>
      <c r="I244">
        <v>93.76</v>
      </c>
      <c r="J244">
        <v>127.73</v>
      </c>
      <c r="K244" t="s">
        <v>11</v>
      </c>
      <c r="L244">
        <v>611.79</v>
      </c>
      <c r="M244" t="s">
        <v>11</v>
      </c>
      <c r="N244">
        <v>290.05</v>
      </c>
      <c r="O244">
        <v>348.81</v>
      </c>
      <c r="P244">
        <v>517.55999999999995</v>
      </c>
      <c r="Q244">
        <v>661.89</v>
      </c>
      <c r="R244">
        <v>703.99</v>
      </c>
      <c r="S244">
        <v>522.24</v>
      </c>
      <c r="T244">
        <v>315.99</v>
      </c>
      <c r="U244">
        <v>747.86</v>
      </c>
      <c r="V244">
        <v>647.82000000000005</v>
      </c>
      <c r="W244">
        <v>760.27</v>
      </c>
      <c r="X244">
        <v>912.8</v>
      </c>
      <c r="Y244">
        <f t="shared" si="3"/>
        <v>1.6912902819468336E-4</v>
      </c>
    </row>
    <row r="245" spans="1:25" x14ac:dyDescent="0.2">
      <c r="A245" t="s">
        <v>642</v>
      </c>
      <c r="B245" t="s">
        <v>643</v>
      </c>
      <c r="C245" t="s">
        <v>644</v>
      </c>
      <c r="D245" t="s">
        <v>7</v>
      </c>
      <c r="E245">
        <v>111.63</v>
      </c>
      <c r="F245">
        <v>124.87</v>
      </c>
      <c r="G245">
        <v>140.97999999999999</v>
      </c>
      <c r="H245">
        <v>142.9</v>
      </c>
      <c r="I245">
        <v>165.66</v>
      </c>
      <c r="J245">
        <v>164.94</v>
      </c>
      <c r="K245">
        <v>208.39</v>
      </c>
      <c r="L245">
        <v>276.33999999999997</v>
      </c>
      <c r="M245">
        <v>335.38</v>
      </c>
      <c r="N245">
        <v>355.94</v>
      </c>
      <c r="O245">
        <v>401.38</v>
      </c>
      <c r="P245">
        <v>326.77999999999997</v>
      </c>
      <c r="Q245">
        <v>379.46</v>
      </c>
      <c r="R245">
        <v>414.05</v>
      </c>
      <c r="S245">
        <v>490.09</v>
      </c>
      <c r="T245">
        <v>489.97</v>
      </c>
      <c r="U245">
        <v>539.04999999999995</v>
      </c>
      <c r="V245">
        <v>688.87</v>
      </c>
      <c r="W245">
        <v>837.62</v>
      </c>
      <c r="X245">
        <v>873.33</v>
      </c>
      <c r="Y245">
        <f t="shared" si="3"/>
        <v>1.6181579118455612E-4</v>
      </c>
    </row>
    <row r="246" spans="1:25" x14ac:dyDescent="0.2">
      <c r="A246" t="s">
        <v>663</v>
      </c>
      <c r="B246" t="s">
        <v>664</v>
      </c>
      <c r="C246" t="s">
        <v>665</v>
      </c>
      <c r="D246" t="s">
        <v>7</v>
      </c>
      <c r="E246">
        <v>18.25</v>
      </c>
      <c r="F246" t="s">
        <v>11</v>
      </c>
      <c r="G246" t="s">
        <v>11</v>
      </c>
      <c r="H246" t="s">
        <v>11</v>
      </c>
      <c r="I246">
        <v>52.7</v>
      </c>
      <c r="J246">
        <v>64.87</v>
      </c>
      <c r="K246">
        <v>83.6</v>
      </c>
      <c r="L246">
        <v>117.51</v>
      </c>
      <c r="M246">
        <v>137.86000000000001</v>
      </c>
      <c r="N246">
        <v>172.36</v>
      </c>
      <c r="O246">
        <v>204.91</v>
      </c>
      <c r="P246" t="s">
        <v>11</v>
      </c>
      <c r="Q246" t="s">
        <v>11</v>
      </c>
      <c r="R246" t="s">
        <v>11</v>
      </c>
      <c r="S246">
        <v>237.73</v>
      </c>
      <c r="T246">
        <v>366.27</v>
      </c>
      <c r="U246">
        <v>381.48</v>
      </c>
      <c r="V246">
        <v>472.38</v>
      </c>
      <c r="W246">
        <v>766.27</v>
      </c>
      <c r="X246">
        <v>820.28</v>
      </c>
      <c r="Y246">
        <f t="shared" si="3"/>
        <v>1.5198637077950796E-4</v>
      </c>
    </row>
    <row r="247" spans="1:25" x14ac:dyDescent="0.2">
      <c r="A247" t="s">
        <v>609</v>
      </c>
      <c r="B247" t="s">
        <v>610</v>
      </c>
      <c r="C247" t="s">
        <v>611</v>
      </c>
      <c r="D247" t="s">
        <v>7</v>
      </c>
      <c r="E247" t="s">
        <v>11</v>
      </c>
      <c r="F247" t="s">
        <v>11</v>
      </c>
      <c r="G247" t="s">
        <v>11</v>
      </c>
      <c r="H247">
        <v>265.97000000000003</v>
      </c>
      <c r="I247" t="s">
        <v>11</v>
      </c>
      <c r="J247">
        <v>164.64</v>
      </c>
      <c r="K247" t="s">
        <v>11</v>
      </c>
      <c r="L247">
        <v>131.52000000000001</v>
      </c>
      <c r="M247" t="s">
        <v>11</v>
      </c>
      <c r="N247">
        <v>144.91999999999999</v>
      </c>
      <c r="O247" t="s">
        <v>11</v>
      </c>
      <c r="P247" t="s">
        <v>11</v>
      </c>
      <c r="Q247" t="s">
        <v>11</v>
      </c>
      <c r="R247">
        <v>184.1</v>
      </c>
      <c r="S247">
        <v>277.33999999999997</v>
      </c>
      <c r="T247">
        <v>325.08</v>
      </c>
      <c r="U247">
        <v>827.98</v>
      </c>
      <c r="V247">
        <v>712</v>
      </c>
      <c r="W247">
        <v>712.34</v>
      </c>
      <c r="X247">
        <v>817.25</v>
      </c>
      <c r="Y247">
        <f t="shared" si="3"/>
        <v>1.5142495430773992E-4</v>
      </c>
    </row>
    <row r="248" spans="1:25" x14ac:dyDescent="0.2">
      <c r="A248" t="s">
        <v>777</v>
      </c>
      <c r="B248" t="s">
        <v>778</v>
      </c>
      <c r="C248" t="s">
        <v>779</v>
      </c>
      <c r="D248" t="s">
        <v>7</v>
      </c>
      <c r="E248">
        <v>53.33</v>
      </c>
      <c r="F248">
        <v>54.56</v>
      </c>
      <c r="G248">
        <v>82.56</v>
      </c>
      <c r="H248">
        <v>129.24</v>
      </c>
      <c r="I248">
        <v>96.55</v>
      </c>
      <c r="J248">
        <v>199.8</v>
      </c>
      <c r="K248" t="s">
        <v>11</v>
      </c>
      <c r="L248">
        <v>248.08</v>
      </c>
      <c r="M248">
        <v>252.49</v>
      </c>
      <c r="N248">
        <v>123.91</v>
      </c>
      <c r="O248">
        <v>128.75</v>
      </c>
      <c r="P248">
        <v>100.9</v>
      </c>
      <c r="Q248">
        <v>79.760000000000005</v>
      </c>
      <c r="R248">
        <v>47.74</v>
      </c>
      <c r="S248">
        <v>203.37</v>
      </c>
      <c r="T248">
        <v>35.26</v>
      </c>
      <c r="U248">
        <v>112.02</v>
      </c>
      <c r="V248">
        <v>376.18</v>
      </c>
      <c r="W248">
        <v>503.92</v>
      </c>
      <c r="X248">
        <v>810.21</v>
      </c>
      <c r="Y248">
        <f t="shared" si="3"/>
        <v>1.5012054111920951E-4</v>
      </c>
    </row>
    <row r="249" spans="1:25" x14ac:dyDescent="0.2">
      <c r="A249" t="s">
        <v>735</v>
      </c>
      <c r="B249" t="s">
        <v>736</v>
      </c>
      <c r="C249" t="s">
        <v>737</v>
      </c>
      <c r="D249" t="s">
        <v>7</v>
      </c>
      <c r="E249" t="s">
        <v>11</v>
      </c>
      <c r="F249" t="s">
        <v>11</v>
      </c>
      <c r="G249" t="s">
        <v>11</v>
      </c>
      <c r="H249" t="s">
        <v>11</v>
      </c>
      <c r="I249" t="s">
        <v>11</v>
      </c>
      <c r="J249" t="s">
        <v>11</v>
      </c>
      <c r="K249">
        <v>85.58</v>
      </c>
      <c r="L249">
        <v>116.07</v>
      </c>
      <c r="M249">
        <v>120.94</v>
      </c>
      <c r="N249">
        <v>142.94</v>
      </c>
      <c r="O249">
        <v>153.69999999999999</v>
      </c>
      <c r="P249">
        <v>196.82</v>
      </c>
      <c r="Q249">
        <v>224.32</v>
      </c>
      <c r="R249">
        <v>219.42</v>
      </c>
      <c r="S249">
        <v>267.74</v>
      </c>
      <c r="T249">
        <v>269.86</v>
      </c>
      <c r="U249">
        <v>327.99</v>
      </c>
      <c r="V249">
        <v>440.71</v>
      </c>
      <c r="W249">
        <v>596.09</v>
      </c>
      <c r="X249">
        <v>769.04</v>
      </c>
      <c r="Y249">
        <f t="shared" si="3"/>
        <v>1.4249231796980641E-4</v>
      </c>
    </row>
    <row r="250" spans="1:25" x14ac:dyDescent="0.2">
      <c r="A250" t="s">
        <v>30</v>
      </c>
      <c r="B250" t="s">
        <v>31</v>
      </c>
      <c r="C250" t="s">
        <v>32</v>
      </c>
      <c r="D250" t="s">
        <v>7</v>
      </c>
      <c r="E250" t="s">
        <v>11</v>
      </c>
      <c r="F250" t="s">
        <v>11</v>
      </c>
      <c r="G250" t="s">
        <v>11</v>
      </c>
      <c r="H250" t="s">
        <v>11</v>
      </c>
      <c r="I250">
        <v>15.71</v>
      </c>
      <c r="J250">
        <v>46.28</v>
      </c>
      <c r="K250">
        <v>98.93</v>
      </c>
      <c r="L250">
        <v>124.75</v>
      </c>
      <c r="M250">
        <v>143.69</v>
      </c>
      <c r="N250">
        <v>146.06</v>
      </c>
      <c r="O250">
        <v>188.87</v>
      </c>
      <c r="P250">
        <v>49.13</v>
      </c>
      <c r="Q250">
        <v>130.82</v>
      </c>
      <c r="R250">
        <v>528.14</v>
      </c>
      <c r="S250">
        <v>572.01</v>
      </c>
      <c r="T250" t="s">
        <v>11</v>
      </c>
      <c r="U250" t="s">
        <v>11</v>
      </c>
      <c r="V250">
        <v>830.55</v>
      </c>
      <c r="W250">
        <v>766.87</v>
      </c>
      <c r="X250">
        <v>750.94</v>
      </c>
      <c r="Y250">
        <f t="shared" si="3"/>
        <v>1.3913864201634042E-4</v>
      </c>
    </row>
    <row r="251" spans="1:25" x14ac:dyDescent="0.2">
      <c r="A251" t="s">
        <v>732</v>
      </c>
      <c r="B251" t="s">
        <v>733</v>
      </c>
      <c r="C251" t="s">
        <v>734</v>
      </c>
      <c r="D251" t="s">
        <v>7</v>
      </c>
      <c r="E251" t="s">
        <v>11</v>
      </c>
      <c r="F251" t="s">
        <v>11</v>
      </c>
      <c r="G251" t="s">
        <v>11</v>
      </c>
      <c r="H251" t="s">
        <v>11</v>
      </c>
      <c r="I251">
        <v>37.43</v>
      </c>
      <c r="J251">
        <v>47.28</v>
      </c>
      <c r="K251">
        <v>55.81</v>
      </c>
      <c r="L251">
        <v>68.89</v>
      </c>
      <c r="M251">
        <v>87.54</v>
      </c>
      <c r="N251">
        <v>105.37</v>
      </c>
      <c r="O251">
        <v>128.44</v>
      </c>
      <c r="P251">
        <v>130.93</v>
      </c>
      <c r="Q251">
        <v>160.58000000000001</v>
      </c>
      <c r="R251">
        <v>188.95</v>
      </c>
      <c r="S251">
        <v>254.71</v>
      </c>
      <c r="T251">
        <v>247.64</v>
      </c>
      <c r="U251">
        <v>336.26</v>
      </c>
      <c r="V251">
        <v>409</v>
      </c>
      <c r="W251">
        <v>550.95000000000005</v>
      </c>
      <c r="X251">
        <v>703.43</v>
      </c>
      <c r="Y251">
        <f t="shared" si="3"/>
        <v>1.3033570585340286E-4</v>
      </c>
    </row>
    <row r="252" spans="1:25" x14ac:dyDescent="0.2">
      <c r="A252" t="s">
        <v>669</v>
      </c>
      <c r="B252" t="s">
        <v>670</v>
      </c>
      <c r="C252" t="s">
        <v>671</v>
      </c>
      <c r="D252" t="s">
        <v>7</v>
      </c>
      <c r="E252" t="s">
        <v>11</v>
      </c>
      <c r="F252">
        <v>147.36000000000001</v>
      </c>
      <c r="G252" t="s">
        <v>11</v>
      </c>
      <c r="H252" t="s">
        <v>11</v>
      </c>
      <c r="I252" t="s">
        <v>11</v>
      </c>
      <c r="J252" t="s">
        <v>11</v>
      </c>
      <c r="K252">
        <v>204.63</v>
      </c>
      <c r="L252">
        <v>203.08</v>
      </c>
      <c r="M252">
        <v>169.1</v>
      </c>
      <c r="N252">
        <v>190.61</v>
      </c>
      <c r="O252">
        <v>206.85</v>
      </c>
      <c r="P252">
        <v>272.39999999999998</v>
      </c>
      <c r="Q252">
        <v>302.52999999999997</v>
      </c>
      <c r="R252">
        <v>357.1</v>
      </c>
      <c r="S252">
        <v>363.08</v>
      </c>
      <c r="T252">
        <v>374.43</v>
      </c>
      <c r="U252">
        <v>428.23</v>
      </c>
      <c r="V252">
        <v>521.52</v>
      </c>
      <c r="W252" t="s">
        <v>11</v>
      </c>
      <c r="X252">
        <v>613.39</v>
      </c>
      <c r="Y252">
        <f t="shared" si="3"/>
        <v>1.1365255762964157E-4</v>
      </c>
    </row>
    <row r="253" spans="1:25" x14ac:dyDescent="0.2">
      <c r="A253" t="s">
        <v>654</v>
      </c>
      <c r="B253" t="s">
        <v>655</v>
      </c>
      <c r="C253" t="s">
        <v>656</v>
      </c>
      <c r="D253" t="s">
        <v>7</v>
      </c>
      <c r="E253">
        <v>119.62</v>
      </c>
      <c r="F253">
        <v>109.86</v>
      </c>
      <c r="G253">
        <v>107.35</v>
      </c>
      <c r="H253" t="s">
        <v>11</v>
      </c>
      <c r="I253">
        <v>88.78</v>
      </c>
      <c r="J253" t="s">
        <v>11</v>
      </c>
      <c r="K253">
        <v>74.959999999999994</v>
      </c>
      <c r="L253">
        <v>79.680000000000007</v>
      </c>
      <c r="M253">
        <v>102.94</v>
      </c>
      <c r="N253">
        <v>81.540000000000006</v>
      </c>
      <c r="O253">
        <v>69.06</v>
      </c>
      <c r="P253" t="s">
        <v>11</v>
      </c>
      <c r="Q253" t="s">
        <v>11</v>
      </c>
      <c r="R253" t="s">
        <v>11</v>
      </c>
      <c r="S253">
        <v>209.52</v>
      </c>
      <c r="T253">
        <v>227.05</v>
      </c>
      <c r="U253">
        <v>417.31</v>
      </c>
      <c r="V253">
        <v>510.86</v>
      </c>
      <c r="W253">
        <v>559.87</v>
      </c>
      <c r="X253">
        <v>609.08000000000004</v>
      </c>
      <c r="Y253">
        <f t="shared" si="3"/>
        <v>1.1285397512359527E-4</v>
      </c>
    </row>
    <row r="254" spans="1:25" x14ac:dyDescent="0.2">
      <c r="A254" t="s">
        <v>207</v>
      </c>
      <c r="B254" t="s">
        <v>208</v>
      </c>
      <c r="C254" t="s">
        <v>209</v>
      </c>
      <c r="D254" t="s">
        <v>7</v>
      </c>
      <c r="E254">
        <v>348.13</v>
      </c>
      <c r="F254">
        <v>407.95</v>
      </c>
      <c r="G254">
        <v>542.5</v>
      </c>
      <c r="H254">
        <v>624.14</v>
      </c>
      <c r="I254">
        <v>619.16999999999996</v>
      </c>
      <c r="J254">
        <v>528.57000000000005</v>
      </c>
      <c r="K254">
        <v>491.47</v>
      </c>
      <c r="L254">
        <v>445.85</v>
      </c>
      <c r="M254" t="s">
        <v>11</v>
      </c>
      <c r="N254" t="s">
        <v>11</v>
      </c>
      <c r="O254">
        <v>317.54000000000002</v>
      </c>
      <c r="P254">
        <v>310.77999999999997</v>
      </c>
      <c r="Q254">
        <v>341.58</v>
      </c>
      <c r="R254">
        <v>377.04</v>
      </c>
      <c r="S254">
        <v>426.99</v>
      </c>
      <c r="T254">
        <v>423.21</v>
      </c>
      <c r="U254">
        <v>472.94</v>
      </c>
      <c r="V254">
        <v>598.6</v>
      </c>
      <c r="W254">
        <v>590.87</v>
      </c>
      <c r="X254">
        <v>583.12</v>
      </c>
      <c r="Y254">
        <f t="shared" si="3"/>
        <v>1.0804395149088932E-4</v>
      </c>
    </row>
    <row r="255" spans="1:25" x14ac:dyDescent="0.2">
      <c r="A255" t="s">
        <v>657</v>
      </c>
      <c r="B255" t="s">
        <v>658</v>
      </c>
      <c r="C255" t="s">
        <v>659</v>
      </c>
      <c r="D255" t="s">
        <v>7</v>
      </c>
      <c r="E255">
        <v>48.1</v>
      </c>
      <c r="F255">
        <v>59.24</v>
      </c>
      <c r="G255">
        <v>78.98</v>
      </c>
      <c r="H255">
        <v>102.08</v>
      </c>
      <c r="I255">
        <v>101.57</v>
      </c>
      <c r="J255" t="s">
        <v>11</v>
      </c>
      <c r="K255">
        <v>151.47999999999999</v>
      </c>
      <c r="L255">
        <v>167.26</v>
      </c>
      <c r="M255">
        <v>167.88</v>
      </c>
      <c r="N255">
        <v>179.35</v>
      </c>
      <c r="O255">
        <v>215.27</v>
      </c>
      <c r="P255">
        <v>253.53</v>
      </c>
      <c r="Q255">
        <v>268.33999999999997</v>
      </c>
      <c r="R255" t="s">
        <v>11</v>
      </c>
      <c r="S255">
        <v>1113.25</v>
      </c>
      <c r="T255">
        <v>389.09</v>
      </c>
      <c r="U255">
        <v>503.44</v>
      </c>
      <c r="V255">
        <v>658.22</v>
      </c>
      <c r="W255">
        <v>655.6</v>
      </c>
      <c r="X255">
        <v>573.87</v>
      </c>
      <c r="Y255">
        <f t="shared" si="3"/>
        <v>1.0633005632130035E-4</v>
      </c>
    </row>
    <row r="256" spans="1:25" x14ac:dyDescent="0.2">
      <c r="A256" t="s">
        <v>108</v>
      </c>
      <c r="B256" t="s">
        <v>109</v>
      </c>
      <c r="C256" t="s">
        <v>110</v>
      </c>
      <c r="D256" t="s">
        <v>7</v>
      </c>
      <c r="E256">
        <v>836.22</v>
      </c>
      <c r="F256">
        <v>811.39</v>
      </c>
      <c r="G256">
        <v>844.63</v>
      </c>
      <c r="H256">
        <v>604.94000000000005</v>
      </c>
      <c r="I256">
        <v>484.54</v>
      </c>
      <c r="J256">
        <v>590.05999999999995</v>
      </c>
      <c r="K256" t="s">
        <v>11</v>
      </c>
      <c r="L256" t="s">
        <v>11</v>
      </c>
      <c r="M256" t="s">
        <v>11</v>
      </c>
      <c r="N256">
        <v>599.33000000000004</v>
      </c>
      <c r="O256">
        <v>645.84</v>
      </c>
      <c r="P256">
        <v>743.58</v>
      </c>
      <c r="Q256">
        <v>740.9</v>
      </c>
      <c r="R256">
        <v>922.81</v>
      </c>
      <c r="S256">
        <v>849.34</v>
      </c>
      <c r="T256">
        <v>526.08000000000004</v>
      </c>
      <c r="U256">
        <v>671.88</v>
      </c>
      <c r="V256">
        <v>814.06</v>
      </c>
      <c r="W256">
        <v>701.31</v>
      </c>
      <c r="X256">
        <v>558.98</v>
      </c>
      <c r="Y256">
        <f t="shared" si="3"/>
        <v>1.0357114831317278E-4</v>
      </c>
    </row>
    <row r="257" spans="1:25" x14ac:dyDescent="0.2">
      <c r="A257" t="s">
        <v>342</v>
      </c>
      <c r="B257" t="s">
        <v>343</v>
      </c>
      <c r="C257" t="s">
        <v>344</v>
      </c>
      <c r="D257" t="s">
        <v>7</v>
      </c>
      <c r="E257" t="s">
        <v>11</v>
      </c>
      <c r="F257" t="s">
        <v>11</v>
      </c>
      <c r="G257">
        <v>159.79</v>
      </c>
      <c r="H257" t="s">
        <v>11</v>
      </c>
      <c r="I257">
        <v>162.41999999999999</v>
      </c>
      <c r="J257" t="s">
        <v>11</v>
      </c>
      <c r="K257" t="s">
        <v>11</v>
      </c>
      <c r="L257">
        <v>183.94</v>
      </c>
      <c r="M257" t="s">
        <v>11</v>
      </c>
      <c r="N257" t="s">
        <v>11</v>
      </c>
      <c r="O257" t="s">
        <v>11</v>
      </c>
      <c r="P257" t="s">
        <v>11</v>
      </c>
      <c r="Q257" t="s">
        <v>11</v>
      </c>
      <c r="R257" t="s">
        <v>11</v>
      </c>
      <c r="S257" t="s">
        <v>11</v>
      </c>
      <c r="T257" t="s">
        <v>11</v>
      </c>
      <c r="U257" t="s">
        <v>11</v>
      </c>
      <c r="V257" t="s">
        <v>11</v>
      </c>
      <c r="W257">
        <v>381.18</v>
      </c>
      <c r="X257">
        <v>450.43</v>
      </c>
      <c r="Y257">
        <f t="shared" si="3"/>
        <v>8.3458356890590742E-5</v>
      </c>
    </row>
    <row r="258" spans="1:25" x14ac:dyDescent="0.2">
      <c r="A258" t="s">
        <v>702</v>
      </c>
      <c r="B258" t="s">
        <v>703</v>
      </c>
      <c r="C258" t="s">
        <v>704</v>
      </c>
      <c r="D258" t="s">
        <v>7</v>
      </c>
      <c r="E258">
        <v>507.8</v>
      </c>
      <c r="F258">
        <v>511.59</v>
      </c>
      <c r="G258">
        <v>543.17999999999995</v>
      </c>
      <c r="H258">
        <v>577.79</v>
      </c>
      <c r="I258">
        <v>596.03</v>
      </c>
      <c r="J258">
        <v>560</v>
      </c>
      <c r="K258">
        <v>36.07</v>
      </c>
      <c r="L258">
        <v>51.34</v>
      </c>
      <c r="M258">
        <v>55.71</v>
      </c>
      <c r="N258">
        <v>57.6</v>
      </c>
      <c r="O258">
        <v>38.61</v>
      </c>
      <c r="P258">
        <v>95.19</v>
      </c>
      <c r="Q258">
        <v>108.95</v>
      </c>
      <c r="R258">
        <v>145.79</v>
      </c>
      <c r="S258">
        <v>173.05</v>
      </c>
      <c r="T258">
        <v>220.08</v>
      </c>
      <c r="U258">
        <v>282.58999999999997</v>
      </c>
      <c r="V258">
        <v>604.61</v>
      </c>
      <c r="W258">
        <v>334.99</v>
      </c>
      <c r="X258">
        <v>448.2</v>
      </c>
      <c r="Y258">
        <f t="shared" si="3"/>
        <v>8.3045169190246586E-5</v>
      </c>
    </row>
    <row r="259" spans="1:25" x14ac:dyDescent="0.2">
      <c r="A259" t="s">
        <v>42</v>
      </c>
      <c r="B259" t="s">
        <v>43</v>
      </c>
      <c r="C259" t="s">
        <v>44</v>
      </c>
      <c r="D259" t="s">
        <v>7</v>
      </c>
      <c r="E259" t="s">
        <v>11</v>
      </c>
      <c r="F259" t="s">
        <v>11</v>
      </c>
      <c r="G259">
        <v>111.42</v>
      </c>
      <c r="H259">
        <v>114.28</v>
      </c>
      <c r="I259" t="s">
        <v>11</v>
      </c>
      <c r="J259" t="s">
        <v>11</v>
      </c>
      <c r="K259">
        <v>136.24</v>
      </c>
      <c r="L259" t="s">
        <v>11</v>
      </c>
      <c r="M259">
        <v>137.91999999999999</v>
      </c>
      <c r="N259" t="s">
        <v>11</v>
      </c>
      <c r="O259" t="s">
        <v>11</v>
      </c>
      <c r="P259">
        <v>179.84</v>
      </c>
      <c r="Q259">
        <v>159.16</v>
      </c>
      <c r="R259">
        <v>177.59</v>
      </c>
      <c r="S259">
        <v>170.88</v>
      </c>
      <c r="T259">
        <v>201.81</v>
      </c>
      <c r="U259">
        <v>252.69</v>
      </c>
      <c r="V259">
        <v>262.05</v>
      </c>
      <c r="W259">
        <v>292.29000000000002</v>
      </c>
      <c r="X259">
        <v>306.94</v>
      </c>
      <c r="Y259">
        <f t="shared" ref="Y259:Y273" si="4">X259/$X$274</f>
        <v>5.6871673876069365E-5</v>
      </c>
    </row>
    <row r="260" spans="1:25" x14ac:dyDescent="0.2">
      <c r="A260" t="s">
        <v>267</v>
      </c>
      <c r="B260" t="s">
        <v>268</v>
      </c>
      <c r="C260" t="s">
        <v>269</v>
      </c>
      <c r="D260" t="s">
        <v>7</v>
      </c>
      <c r="E260" t="s">
        <v>11</v>
      </c>
      <c r="F260" t="s">
        <v>11</v>
      </c>
      <c r="G260" t="s">
        <v>11</v>
      </c>
      <c r="H260" t="s">
        <v>11</v>
      </c>
      <c r="I260" t="s">
        <v>11</v>
      </c>
      <c r="J260" t="s">
        <v>11</v>
      </c>
      <c r="K260">
        <v>112.43</v>
      </c>
      <c r="L260">
        <v>63.89</v>
      </c>
      <c r="M260" t="s">
        <v>11</v>
      </c>
      <c r="N260">
        <v>87.31</v>
      </c>
      <c r="O260" t="s">
        <v>11</v>
      </c>
      <c r="P260" t="s">
        <v>11</v>
      </c>
      <c r="Q260" t="s">
        <v>11</v>
      </c>
      <c r="R260" t="s">
        <v>11</v>
      </c>
      <c r="S260" t="s">
        <v>11</v>
      </c>
      <c r="T260" t="s">
        <v>11</v>
      </c>
      <c r="U260" t="s">
        <v>11</v>
      </c>
      <c r="V260" t="s">
        <v>11</v>
      </c>
      <c r="W260">
        <v>309.36</v>
      </c>
      <c r="X260">
        <v>302.99</v>
      </c>
      <c r="Y260">
        <f t="shared" si="4"/>
        <v>5.61397943171638E-5</v>
      </c>
    </row>
    <row r="261" spans="1:25" x14ac:dyDescent="0.2">
      <c r="A261" t="s">
        <v>738</v>
      </c>
      <c r="B261" t="s">
        <v>739</v>
      </c>
      <c r="C261" t="s">
        <v>740</v>
      </c>
      <c r="D261" t="s">
        <v>7</v>
      </c>
      <c r="E261">
        <v>96.74</v>
      </c>
      <c r="F261">
        <v>94.26</v>
      </c>
      <c r="G261">
        <v>62.47</v>
      </c>
      <c r="H261">
        <v>55.57</v>
      </c>
      <c r="I261">
        <v>22.33</v>
      </c>
      <c r="J261">
        <v>31.11</v>
      </c>
      <c r="K261" t="s">
        <v>11</v>
      </c>
      <c r="L261" t="s">
        <v>11</v>
      </c>
      <c r="M261">
        <v>40.81</v>
      </c>
      <c r="N261">
        <v>46.98</v>
      </c>
      <c r="O261">
        <v>59.93</v>
      </c>
      <c r="P261">
        <v>59.18</v>
      </c>
      <c r="Q261" t="s">
        <v>11</v>
      </c>
      <c r="R261" t="s">
        <v>11</v>
      </c>
      <c r="S261">
        <v>68.930000000000007</v>
      </c>
      <c r="T261">
        <v>83.24</v>
      </c>
      <c r="U261">
        <v>79.430000000000007</v>
      </c>
      <c r="V261">
        <v>114.67</v>
      </c>
      <c r="W261">
        <v>183.31</v>
      </c>
      <c r="X261">
        <v>243.55</v>
      </c>
      <c r="Y261">
        <f t="shared" si="4"/>
        <v>4.5126396600367152E-5</v>
      </c>
    </row>
    <row r="262" spans="1:25" x14ac:dyDescent="0.2">
      <c r="A262" t="s">
        <v>765</v>
      </c>
      <c r="B262" t="s">
        <v>766</v>
      </c>
      <c r="C262" t="s">
        <v>767</v>
      </c>
      <c r="D262" t="s">
        <v>7</v>
      </c>
      <c r="E262">
        <v>5.48</v>
      </c>
      <c r="F262">
        <v>9.19</v>
      </c>
      <c r="G262">
        <v>12.17</v>
      </c>
      <c r="H262">
        <v>14.23</v>
      </c>
      <c r="I262" t="s">
        <v>11</v>
      </c>
      <c r="J262" t="s">
        <v>11</v>
      </c>
      <c r="K262">
        <v>7.02</v>
      </c>
      <c r="L262" t="s">
        <v>11</v>
      </c>
      <c r="M262">
        <v>20.87</v>
      </c>
      <c r="N262">
        <v>23.57</v>
      </c>
      <c r="O262">
        <v>25.68</v>
      </c>
      <c r="P262">
        <v>47.24</v>
      </c>
      <c r="Q262">
        <v>73.739999999999995</v>
      </c>
      <c r="R262">
        <v>92</v>
      </c>
      <c r="S262">
        <v>146.24</v>
      </c>
      <c r="T262">
        <v>145.07</v>
      </c>
      <c r="U262">
        <v>147.32</v>
      </c>
      <c r="V262">
        <v>194.24</v>
      </c>
      <c r="W262">
        <v>198.5</v>
      </c>
      <c r="X262">
        <v>211.16</v>
      </c>
      <c r="Y262">
        <f t="shared" si="4"/>
        <v>3.9124984217341524E-5</v>
      </c>
    </row>
    <row r="263" spans="1:25" x14ac:dyDescent="0.2">
      <c r="A263" t="s">
        <v>8</v>
      </c>
      <c r="B263" t="s">
        <v>9</v>
      </c>
      <c r="C263" t="s">
        <v>10</v>
      </c>
      <c r="D263" t="s">
        <v>7</v>
      </c>
      <c r="E263" t="s">
        <v>11</v>
      </c>
      <c r="F263" t="s">
        <v>11</v>
      </c>
      <c r="G263" t="s">
        <v>11</v>
      </c>
      <c r="H263">
        <v>267.42</v>
      </c>
      <c r="I263" t="s">
        <v>11</v>
      </c>
      <c r="J263" t="s">
        <v>11</v>
      </c>
      <c r="K263" t="s">
        <v>11</v>
      </c>
      <c r="L263" t="s">
        <v>11</v>
      </c>
      <c r="M263" t="s">
        <v>11</v>
      </c>
      <c r="N263" t="s">
        <v>11</v>
      </c>
      <c r="O263" t="s">
        <v>11</v>
      </c>
      <c r="P263" t="s">
        <v>11</v>
      </c>
      <c r="Q263" t="s">
        <v>11</v>
      </c>
      <c r="R263" t="s">
        <v>11</v>
      </c>
      <c r="S263" t="s">
        <v>11</v>
      </c>
      <c r="T263" t="s">
        <v>11</v>
      </c>
      <c r="U263">
        <v>190.27</v>
      </c>
      <c r="V263">
        <v>187.3</v>
      </c>
      <c r="W263">
        <v>131.44999999999999</v>
      </c>
      <c r="X263">
        <v>208.32</v>
      </c>
      <c r="Y263">
        <f t="shared" si="4"/>
        <v>3.8598772078786638E-5</v>
      </c>
    </row>
    <row r="264" spans="1:25" x14ac:dyDescent="0.2">
      <c r="A264" t="s">
        <v>177</v>
      </c>
      <c r="B264" t="s">
        <v>178</v>
      </c>
      <c r="C264" t="s">
        <v>179</v>
      </c>
      <c r="D264" t="s">
        <v>7</v>
      </c>
      <c r="E264">
        <v>981.07</v>
      </c>
      <c r="F264">
        <v>1035.0999999999999</v>
      </c>
      <c r="G264">
        <v>1050.2</v>
      </c>
      <c r="H264">
        <v>801.28</v>
      </c>
      <c r="I264">
        <v>1044.73</v>
      </c>
      <c r="J264">
        <v>979.07</v>
      </c>
      <c r="K264">
        <v>690.85</v>
      </c>
      <c r="L264">
        <v>631.88</v>
      </c>
      <c r="M264">
        <v>651.72</v>
      </c>
      <c r="N264">
        <v>690.86</v>
      </c>
      <c r="O264">
        <v>750.03</v>
      </c>
      <c r="P264">
        <v>767.99</v>
      </c>
      <c r="Q264">
        <v>256.42</v>
      </c>
      <c r="R264">
        <v>145.57</v>
      </c>
      <c r="S264">
        <v>129.13999999999999</v>
      </c>
      <c r="T264">
        <v>182</v>
      </c>
      <c r="U264">
        <v>221.5</v>
      </c>
      <c r="V264">
        <v>205.11</v>
      </c>
      <c r="W264" t="s">
        <v>11</v>
      </c>
      <c r="X264">
        <v>175.78</v>
      </c>
      <c r="Y264">
        <f t="shared" si="4"/>
        <v>3.2569566801119026E-5</v>
      </c>
    </row>
    <row r="265" spans="1:25" x14ac:dyDescent="0.2">
      <c r="A265" t="s">
        <v>471</v>
      </c>
      <c r="B265" t="s">
        <v>472</v>
      </c>
      <c r="C265" t="s">
        <v>473</v>
      </c>
      <c r="D265" t="s">
        <v>7</v>
      </c>
      <c r="E265">
        <v>86.87</v>
      </c>
      <c r="F265" t="s">
        <v>11</v>
      </c>
      <c r="G265" t="s">
        <v>11</v>
      </c>
      <c r="H265" t="s">
        <v>11</v>
      </c>
      <c r="I265" t="s">
        <v>11</v>
      </c>
      <c r="J265" t="s">
        <v>11</v>
      </c>
      <c r="K265">
        <v>39.49</v>
      </c>
      <c r="L265">
        <v>71.44</v>
      </c>
      <c r="M265" t="s">
        <v>11</v>
      </c>
      <c r="N265">
        <v>71.56</v>
      </c>
      <c r="O265">
        <v>77.489999999999995</v>
      </c>
      <c r="P265">
        <v>103.02</v>
      </c>
      <c r="Q265">
        <v>95.26</v>
      </c>
      <c r="R265">
        <v>108.47</v>
      </c>
      <c r="S265">
        <v>46.08</v>
      </c>
      <c r="T265">
        <v>69.989999999999995</v>
      </c>
      <c r="U265" t="s">
        <v>11</v>
      </c>
      <c r="V265">
        <v>162.02000000000001</v>
      </c>
      <c r="W265" t="s">
        <v>11</v>
      </c>
      <c r="X265">
        <v>123.43</v>
      </c>
      <c r="Y265">
        <f t="shared" si="4"/>
        <v>2.2869846571066796E-5</v>
      </c>
    </row>
    <row r="266" spans="1:25" x14ac:dyDescent="0.2">
      <c r="A266" t="s">
        <v>768</v>
      </c>
      <c r="B266" t="s">
        <v>769</v>
      </c>
      <c r="C266" t="s">
        <v>770</v>
      </c>
      <c r="D266" t="s">
        <v>7</v>
      </c>
      <c r="E266" t="s">
        <v>11</v>
      </c>
      <c r="F266" t="s">
        <v>11</v>
      </c>
      <c r="G266" t="s">
        <v>11</v>
      </c>
      <c r="H266">
        <v>10.3</v>
      </c>
      <c r="I266">
        <v>35.22</v>
      </c>
      <c r="J266">
        <v>35.299999999999997</v>
      </c>
      <c r="K266">
        <v>37.99</v>
      </c>
      <c r="L266">
        <v>41.54</v>
      </c>
      <c r="M266">
        <v>49.36</v>
      </c>
      <c r="N266">
        <v>41.6</v>
      </c>
      <c r="O266">
        <v>45.92</v>
      </c>
      <c r="P266">
        <v>42.94</v>
      </c>
      <c r="Q266">
        <v>39.049999999999997</v>
      </c>
      <c r="R266">
        <v>44.23</v>
      </c>
      <c r="S266">
        <v>65.44</v>
      </c>
      <c r="T266" t="s">
        <v>11</v>
      </c>
      <c r="U266">
        <v>86.92</v>
      </c>
      <c r="V266">
        <v>97.05</v>
      </c>
      <c r="W266">
        <v>94.99</v>
      </c>
      <c r="X266">
        <v>92.98</v>
      </c>
      <c r="Y266">
        <f t="shared" si="4"/>
        <v>1.722788895874415E-5</v>
      </c>
    </row>
    <row r="267" spans="1:25" x14ac:dyDescent="0.2">
      <c r="A267" t="s">
        <v>774</v>
      </c>
      <c r="B267" t="s">
        <v>775</v>
      </c>
      <c r="C267" t="s">
        <v>776</v>
      </c>
      <c r="D267" t="s">
        <v>7</v>
      </c>
      <c r="E267" t="s">
        <v>11</v>
      </c>
      <c r="F267" t="s">
        <v>11</v>
      </c>
      <c r="G267" t="s">
        <v>11</v>
      </c>
      <c r="H267" t="s">
        <v>11</v>
      </c>
      <c r="I267" t="s">
        <v>11</v>
      </c>
      <c r="J267" t="s">
        <v>11</v>
      </c>
      <c r="K267">
        <v>5.96</v>
      </c>
      <c r="L267" t="s">
        <v>11</v>
      </c>
      <c r="M267">
        <v>12.66</v>
      </c>
      <c r="N267">
        <v>34.729999999999997</v>
      </c>
      <c r="O267" t="s">
        <v>11</v>
      </c>
      <c r="P267" t="s">
        <v>11</v>
      </c>
      <c r="Q267" t="s">
        <v>11</v>
      </c>
      <c r="R267">
        <v>20.65</v>
      </c>
      <c r="S267">
        <v>43.65</v>
      </c>
      <c r="T267">
        <v>51.24</v>
      </c>
      <c r="U267">
        <v>81.73</v>
      </c>
      <c r="V267">
        <v>84.8</v>
      </c>
      <c r="W267">
        <v>95.57</v>
      </c>
      <c r="X267">
        <v>88.8</v>
      </c>
      <c r="Y267">
        <f t="shared" si="4"/>
        <v>1.645339362805421E-5</v>
      </c>
    </row>
    <row r="268" spans="1:25" x14ac:dyDescent="0.2">
      <c r="A268" t="s">
        <v>699</v>
      </c>
      <c r="B268" t="s">
        <v>700</v>
      </c>
      <c r="C268" t="s">
        <v>701</v>
      </c>
      <c r="D268" t="s">
        <v>7</v>
      </c>
      <c r="E268" t="s">
        <v>11</v>
      </c>
      <c r="F268" t="s">
        <v>11</v>
      </c>
      <c r="G268" t="s">
        <v>11</v>
      </c>
      <c r="H268" t="s">
        <v>11</v>
      </c>
      <c r="I268" t="s">
        <v>11</v>
      </c>
      <c r="J268">
        <v>343.06</v>
      </c>
      <c r="K268">
        <v>205.16</v>
      </c>
      <c r="L268">
        <v>138.82</v>
      </c>
      <c r="M268">
        <v>102.15</v>
      </c>
      <c r="N268">
        <v>98.45</v>
      </c>
      <c r="O268">
        <v>106.66</v>
      </c>
      <c r="P268">
        <v>144.85</v>
      </c>
      <c r="Q268">
        <v>163.38</v>
      </c>
      <c r="R268">
        <v>90.59</v>
      </c>
      <c r="S268">
        <v>118.21</v>
      </c>
      <c r="T268">
        <v>126.29</v>
      </c>
      <c r="U268">
        <v>99.64</v>
      </c>
      <c r="V268" t="s">
        <v>11</v>
      </c>
      <c r="W268">
        <v>59.08</v>
      </c>
      <c r="X268">
        <v>73.03</v>
      </c>
      <c r="Y268">
        <f t="shared" si="4"/>
        <v>1.3531433971360349E-5</v>
      </c>
    </row>
    <row r="269" spans="1:25" x14ac:dyDescent="0.2">
      <c r="A269" t="s">
        <v>759</v>
      </c>
      <c r="B269" t="s">
        <v>760</v>
      </c>
      <c r="C269" t="s">
        <v>761</v>
      </c>
      <c r="D269" t="s">
        <v>7</v>
      </c>
      <c r="E269" t="s">
        <v>11</v>
      </c>
      <c r="F269" t="s">
        <v>11</v>
      </c>
      <c r="G269" t="s">
        <v>11</v>
      </c>
      <c r="H269">
        <v>13.21</v>
      </c>
      <c r="I269" t="s">
        <v>11</v>
      </c>
      <c r="J269" t="s">
        <v>11</v>
      </c>
      <c r="K269" t="s">
        <v>11</v>
      </c>
      <c r="L269" t="s">
        <v>11</v>
      </c>
      <c r="M269" t="s">
        <v>11</v>
      </c>
      <c r="N269" t="s">
        <v>11</v>
      </c>
      <c r="O269" t="s">
        <v>11</v>
      </c>
      <c r="P269">
        <v>18.579999999999998</v>
      </c>
      <c r="Q269" t="s">
        <v>11</v>
      </c>
      <c r="R269">
        <v>29.11</v>
      </c>
      <c r="S269" t="s">
        <v>11</v>
      </c>
      <c r="T269">
        <v>27.83</v>
      </c>
      <c r="U269" t="s">
        <v>11</v>
      </c>
      <c r="V269" t="s">
        <v>11</v>
      </c>
      <c r="W269" t="s">
        <v>11</v>
      </c>
      <c r="X269">
        <v>48.61</v>
      </c>
      <c r="Y269">
        <f t="shared" si="4"/>
        <v>9.0067507236454408E-6</v>
      </c>
    </row>
    <row r="270" spans="1:25" x14ac:dyDescent="0.2">
      <c r="A270" t="s">
        <v>39</v>
      </c>
      <c r="B270" t="s">
        <v>40</v>
      </c>
      <c r="C270" t="s">
        <v>41</v>
      </c>
      <c r="D270" t="s">
        <v>7</v>
      </c>
      <c r="E270" t="s">
        <v>11</v>
      </c>
      <c r="F270">
        <v>98.48</v>
      </c>
      <c r="G270" t="s">
        <v>11</v>
      </c>
      <c r="H270" t="s">
        <v>11</v>
      </c>
      <c r="I270">
        <v>63.22</v>
      </c>
      <c r="J270" t="s">
        <v>11</v>
      </c>
      <c r="K270" t="s">
        <v>11</v>
      </c>
      <c r="L270" t="s">
        <v>11</v>
      </c>
      <c r="M270" t="s">
        <v>11</v>
      </c>
      <c r="N270">
        <v>194.61</v>
      </c>
      <c r="O270" t="s">
        <v>11</v>
      </c>
      <c r="P270" t="s">
        <v>11</v>
      </c>
      <c r="Q270" t="s">
        <v>11</v>
      </c>
      <c r="R270">
        <v>22.77</v>
      </c>
      <c r="S270">
        <v>19.55</v>
      </c>
      <c r="T270">
        <v>14.01</v>
      </c>
      <c r="U270">
        <v>15.19</v>
      </c>
      <c r="V270">
        <v>15.7</v>
      </c>
      <c r="W270">
        <v>42.68</v>
      </c>
      <c r="X270">
        <v>43.23</v>
      </c>
      <c r="Y270">
        <f t="shared" si="4"/>
        <v>8.0099122358196346E-6</v>
      </c>
    </row>
    <row r="271" spans="1:25" x14ac:dyDescent="0.2">
      <c r="A271" t="s">
        <v>540</v>
      </c>
      <c r="B271" t="s">
        <v>541</v>
      </c>
      <c r="C271" t="s">
        <v>542</v>
      </c>
      <c r="D271" t="s">
        <v>7</v>
      </c>
      <c r="E271">
        <v>187.77</v>
      </c>
      <c r="F271">
        <v>217.47</v>
      </c>
      <c r="G271">
        <v>281.22000000000003</v>
      </c>
      <c r="H271">
        <v>324.42</v>
      </c>
      <c r="I271">
        <v>302.19</v>
      </c>
      <c r="J271">
        <v>244.62</v>
      </c>
      <c r="K271">
        <v>144.21</v>
      </c>
      <c r="L271">
        <v>78.209999999999994</v>
      </c>
      <c r="M271">
        <v>37.69</v>
      </c>
      <c r="N271">
        <v>23.85</v>
      </c>
      <c r="O271" t="s">
        <v>11</v>
      </c>
      <c r="P271">
        <v>54.12</v>
      </c>
      <c r="Q271">
        <v>30.48</v>
      </c>
      <c r="R271">
        <v>30.02</v>
      </c>
      <c r="S271">
        <v>26</v>
      </c>
      <c r="T271">
        <v>27.17</v>
      </c>
      <c r="U271">
        <v>32.18</v>
      </c>
      <c r="V271">
        <v>27.96</v>
      </c>
      <c r="W271">
        <v>25.29</v>
      </c>
      <c r="X271">
        <v>28.53</v>
      </c>
      <c r="Y271">
        <f t="shared" si="4"/>
        <v>5.2862085609052555E-6</v>
      </c>
    </row>
    <row r="272" spans="1:25" x14ac:dyDescent="0.2">
      <c r="A272" t="s">
        <v>339</v>
      </c>
      <c r="B272" t="s">
        <v>340</v>
      </c>
      <c r="C272" t="s">
        <v>341</v>
      </c>
      <c r="D272" t="s">
        <v>7</v>
      </c>
      <c r="E272" t="s">
        <v>11</v>
      </c>
      <c r="F272" t="s">
        <v>11</v>
      </c>
      <c r="G272">
        <v>32.99</v>
      </c>
      <c r="H272" t="s">
        <v>11</v>
      </c>
      <c r="I272" t="s">
        <v>11</v>
      </c>
      <c r="J272" t="s">
        <v>11</v>
      </c>
      <c r="K272" t="s">
        <v>11</v>
      </c>
      <c r="L272">
        <v>18.79</v>
      </c>
      <c r="M272" t="s">
        <v>11</v>
      </c>
      <c r="N272" t="s">
        <v>11</v>
      </c>
      <c r="O272" t="s">
        <v>11</v>
      </c>
      <c r="P272" t="s">
        <v>11</v>
      </c>
      <c r="Q272" t="s">
        <v>11</v>
      </c>
      <c r="R272" t="s">
        <v>11</v>
      </c>
      <c r="S272" t="s">
        <v>11</v>
      </c>
      <c r="T272" t="s">
        <v>11</v>
      </c>
      <c r="U272" t="s">
        <v>11</v>
      </c>
      <c r="V272" t="s">
        <v>11</v>
      </c>
      <c r="W272">
        <v>68.37</v>
      </c>
      <c r="X272">
        <v>27.03</v>
      </c>
      <c r="Y272">
        <f t="shared" si="4"/>
        <v>5.008279614485421E-6</v>
      </c>
    </row>
    <row r="273" spans="1:25" x14ac:dyDescent="0.2">
      <c r="A273" t="s">
        <v>762</v>
      </c>
      <c r="B273" t="s">
        <v>763</v>
      </c>
      <c r="C273" t="s">
        <v>764</v>
      </c>
      <c r="D273" t="s">
        <v>7</v>
      </c>
      <c r="E273">
        <v>151.62</v>
      </c>
      <c r="F273">
        <v>156.26</v>
      </c>
      <c r="G273">
        <v>193.38</v>
      </c>
      <c r="H273">
        <v>201.4</v>
      </c>
      <c r="I273">
        <v>34.619999999999997</v>
      </c>
      <c r="J273">
        <v>19.14</v>
      </c>
      <c r="K273" t="s">
        <v>11</v>
      </c>
      <c r="L273">
        <v>41.38</v>
      </c>
      <c r="M273" t="s">
        <v>11</v>
      </c>
      <c r="N273" t="s">
        <v>11</v>
      </c>
      <c r="O273" t="s">
        <v>11</v>
      </c>
      <c r="P273" t="s">
        <v>11</v>
      </c>
      <c r="Q273" t="s">
        <v>11</v>
      </c>
      <c r="R273">
        <v>7.17</v>
      </c>
      <c r="S273" t="s">
        <v>11</v>
      </c>
      <c r="T273" t="s">
        <v>11</v>
      </c>
      <c r="U273" t="s">
        <v>11</v>
      </c>
      <c r="V273" t="s">
        <v>11</v>
      </c>
      <c r="W273" t="s">
        <v>11</v>
      </c>
      <c r="X273">
        <v>18.350000000000001</v>
      </c>
      <c r="Y273">
        <f t="shared" si="4"/>
        <v>3.3999974445359776E-6</v>
      </c>
    </row>
    <row r="274" spans="1:25" x14ac:dyDescent="0.2">
      <c r="X274">
        <f>SUM(X2:X273)</f>
        <v>5397062.8800000055</v>
      </c>
    </row>
  </sheetData>
  <autoFilter ref="A1:X273" xr:uid="{00000000-0001-0000-0000-000000000000}">
    <sortState xmlns:xlrd2="http://schemas.microsoft.com/office/spreadsheetml/2017/richdata2" ref="A2:X273">
      <sortCondition descending="1" ref="X1:X273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 wolyniak</cp:lastModifiedBy>
  <dcterms:created xsi:type="dcterms:W3CDTF">2025-12-06T13:45:00Z</dcterms:created>
  <dcterms:modified xsi:type="dcterms:W3CDTF">2025-12-06T13:48:32Z</dcterms:modified>
</cp:coreProperties>
</file>